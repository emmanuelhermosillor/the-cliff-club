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dad\Dropbox\01.12.00.00.00.04.00 ADRIACAP DIRECCIÓN\20. PROY DSRRLL\2021\01.03 BCS CSL HSPTLTY QUIVIRA RESORT NEW\08.00. DESARROLLO\13.00. E DE MARKET &amp; REV MNGMNT\03.01. SALE ROLL\"/>
    </mc:Choice>
  </mc:AlternateContent>
  <xr:revisionPtr revIDLastSave="0" documentId="13_ncr:1_{B0E9B6F1-ADAF-4A67-8D92-DA16B14B47D9}" xr6:coauthVersionLast="47" xr6:coauthVersionMax="47" xr10:uidLastSave="{00000000-0000-0000-0000-000000000000}"/>
  <bookViews>
    <workbookView xWindow="28680" yWindow="-120" windowWidth="29040" windowHeight="15720" xr2:uid="{A5212A3C-272E-4243-9E2F-C7441EDB4B55}"/>
  </bookViews>
  <sheets>
    <sheet name="Inventari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e">#REF!</definedName>
    <definedName name="\g">#REF!</definedName>
    <definedName name="\P">#REF!</definedName>
    <definedName name="\s">#REF!</definedName>
    <definedName name="_" hidden="1">{"data",#N/A,FALSE,"INPUT"}</definedName>
    <definedName name="___TC1">#REF!</definedName>
    <definedName name="__TC1">#REF!</definedName>
    <definedName name="__TC2">#REF!</definedName>
    <definedName name="_10__123Graph_XCHART_2" hidden="1">[1]A!$D$171:$D$177</definedName>
    <definedName name="_2__123Graph_ACHART_1" hidden="1">'[2]REITs &amp; S&amp;P'!$F$11:$F$31</definedName>
    <definedName name="_3_0A_impresión">#REF!</definedName>
    <definedName name="_4__123Graph_ACHART_2" hidden="1">[1]A!$E$171:$E$177</definedName>
    <definedName name="_6__123Graph_BCHART_1" hidden="1">[3]A!$E$135:$E$141</definedName>
    <definedName name="_6_0PROGR">#REF!</definedName>
    <definedName name="_8__123Graph_XCHART_1" hidden="1">'[2]REITs &amp; S&amp;P'!$D$11:$D$31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[4]Flujo!#REF!</definedName>
    <definedName name="_Order1" hidden="1">255</definedName>
    <definedName name="_Order2" hidden="1">255</definedName>
    <definedName name="_SAU1">#REF!</definedName>
    <definedName name="_SB1">'[5]Avance Dic 01'!#REF!</definedName>
    <definedName name="_SB2">#REF!</definedName>
    <definedName name="_SB3">#REF!</definedName>
    <definedName name="_TC1">#REF!</definedName>
    <definedName name="_TC2">#REF!</definedName>
    <definedName name="_TC5">#REF!</definedName>
    <definedName name="_tc50">#REF!</definedName>
    <definedName name="_TCx">#REF!</definedName>
    <definedName name="_wrn4" hidden="1">{"data",#N/A,FALSE,"INPUT"}</definedName>
    <definedName name="_wrn5" hidden="1">{"data",#N/A,FALSE,"INPUT"}</definedName>
    <definedName name="_wrn6" hidden="1">{"data",#N/A,FALSE,"INPUT"}</definedName>
    <definedName name="a" hidden="1">#REF!</definedName>
    <definedName name="A_impresión_IM">#REF!</definedName>
    <definedName name="AAA">#REF!</definedName>
    <definedName name="AAAA" hidden="1">{"data",#N/A,FALSE,"INPUT"}</definedName>
    <definedName name="ACA">#REF!</definedName>
    <definedName name="ade">#REF!</definedName>
    <definedName name="ADF" hidden="1">#REF!</definedName>
    <definedName name="Agua_en_Bloque">#REF!</definedName>
    <definedName name="ANR">'[6]Rent Roll'!$C$14</definedName>
    <definedName name="ANTICIPADO">[7]LISTAS!$B$61:$B$62</definedName>
    <definedName name="Ara_3518_Dolares">#REF!</definedName>
    <definedName name="Ara_4012_Pesos">#REF!</definedName>
    <definedName name="Ara_5018_Pesos">#REF!</definedName>
    <definedName name="area">#REF!</definedName>
    <definedName name="AS2DocOpenMode" hidden="1">"AS2DocumentEdit"</definedName>
    <definedName name="ASDF" hidden="1">{"data",#N/A,FALSE,"INPUT"}</definedName>
    <definedName name="asdfgh" hidden="1">#REF!</definedName>
    <definedName name="asdsfd" hidden="1">#REF!</definedName>
    <definedName name="asf" hidden="1">#REF!</definedName>
    <definedName name="ASFagfG" hidden="1">{#N/A,#N/A,FALSE,"CF Yr3";#N/A,#N/A,FALSE,"Rent Roll";#N/A,#N/A,FALSE,"Rent Yr3";#N/A,#N/A,FALSE,"Occ Yr3";#N/A,#N/A,FALSE,"TI+Com Yr3";#N/A,#N/A,FALSE,"OER Yr3";#N/A,#N/A,FALSE,"OE Yr3"}</definedName>
    <definedName name="Assumptions2" hidden="1">{"Data Input",#N/A,TRUE,"Data Input";"15-Yr Cash Flow",#N/A,TRUE,"Cash Flow";"15-Yr Value",#N/A,TRUE,"Value "}</definedName>
    <definedName name="avance">#REF!</definedName>
    <definedName name="AVANTA" hidden="1">#REF!</definedName>
    <definedName name="AW" hidden="1">{#N/A,#N/A,TRUE,"Summary";#N/A,#N/A,TRUE,"Budget"}</definedName>
    <definedName name="awdwedwed">#REF!</definedName>
    <definedName name="B">#REF!</definedName>
    <definedName name="base">#REF!</definedName>
    <definedName name="Base_datos_IM">#REF!</definedName>
    <definedName name="BASICOS" hidden="1">#REF!</definedName>
    <definedName name="CALIDAD">[7]LISTAS!$C$57:$C$67</definedName>
    <definedName name="CAMPANARIOPE">'[8]El Campanario'!#REF!</definedName>
    <definedName name="CAMPANARIOPEU">'[8]El Campanario'!#REF!</definedName>
    <definedName name="CAMPANARIOPI">'[8]El Campanario'!#REF!</definedName>
    <definedName name="CAMPANARIOPUI">'[8]El Campanario'!#REF!</definedName>
    <definedName name="CAMPESTREPE">[8]Campestre!#REF!</definedName>
    <definedName name="CAMPESTREPEU">[8]Campestre!#REF!</definedName>
    <definedName name="CAMPESTREPI">[8]Campestre!#REF!</definedName>
    <definedName name="CAMPESTREPUI">[8]Campestre!#REF!</definedName>
    <definedName name="Carcamos">#REF!</definedName>
    <definedName name="cargo">#REF!</definedName>
    <definedName name="cargocontacto">#REF!</definedName>
    <definedName name="cargoresponsabledelaobra">#REF!</definedName>
    <definedName name="cargovendedor">#REF!</definedName>
    <definedName name="Casetas_Bombas">#REF!</definedName>
    <definedName name="CER" hidden="1">#REF!</definedName>
    <definedName name="cero">#REF!</definedName>
    <definedName name="CHAPU" hidden="1">{#N/A,#N/A,TRUE,"Cover";#N/A,#N/A,TRUE,"Summary";#N/A,#N/A,TRUE,"Assumptions";#N/A,#N/A,TRUE,"Stack";#N/A,#N/A,TRUE,"Budget";#N/A,#N/A,TRUE,"Condo Summary";#N/A,#N/A,TRUE,"Sellout Summary"}</definedName>
    <definedName name="Cisternas">#REF!</definedName>
    <definedName name="ciudad">#REF!</definedName>
    <definedName name="ciudadcliente">#REF!</definedName>
    <definedName name="ciudaddelaobra">#REF!</definedName>
    <definedName name="CLA">#REF!</definedName>
    <definedName name="CLASEG">#REF!</definedName>
    <definedName name="Claves_Catastrales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FRA2">#REF!</definedName>
    <definedName name="colonia">#REF!</definedName>
    <definedName name="coloniacliente">#REF!</definedName>
    <definedName name="coloniadelaobra">#REF!</definedName>
    <definedName name="CONT">#REF!</definedName>
    <definedName name="contactocliente">#REF!</definedName>
    <definedName name="_xlnm.Criteria">#REF!</definedName>
    <definedName name="Criterios_IM">#REF!</definedName>
    <definedName name="criterios1">#REF!</definedName>
    <definedName name="CSM1PE">'[8]Cofradia I'!#REF!</definedName>
    <definedName name="CSM1PEU">'[8]Cofradia I'!#REF!</definedName>
    <definedName name="CSM1PI">'[8]Cofradia I'!#REF!</definedName>
    <definedName name="CSM1PUI">'[8]Cofradia I'!#REF!</definedName>
    <definedName name="CSM2EU">#REF!</definedName>
    <definedName name="CSM2I">#REF!</definedName>
    <definedName name="CSM2PE">#REF!</definedName>
    <definedName name="CSM2PEU">#REF!</definedName>
    <definedName name="CSM2PI">#REF!</definedName>
    <definedName name="CSM2PUI">#REF!</definedName>
    <definedName name="CSM2UI">#REF!</definedName>
    <definedName name="CT">#REF!</definedName>
    <definedName name="CUATROV2">'[9]4 Vientos II'!#REF!</definedName>
    <definedName name="CUCV">'[9]C U 4 Vientos'!#REF!</definedName>
    <definedName name="CV">'[9]4 Vientos'!#REF!</definedName>
    <definedName name="CVII">'[9]4 Vientos II'!#REF!</definedName>
    <definedName name="CVTOS2EU">'[9]4 Vientos II'!#REF!</definedName>
    <definedName name="CVTOS2I">'[9]4 Vientos II'!#REF!</definedName>
    <definedName name="CVTOS2PE">'[10]4 Vientos II'!#REF!</definedName>
    <definedName name="CVTOS2PEU">'[10]4 Vientos II'!#REF!</definedName>
    <definedName name="CVTOS2PI">'[10]4 Vientos II'!#REF!</definedName>
    <definedName name="CVTOS2PUI">'[10]4 Vientos II'!#REF!</definedName>
    <definedName name="CVTOS2UI">'[9]4 Vientos II'!#REF!</definedName>
    <definedName name="CVTOSEU">'[9]4 Vientos'!#REF!</definedName>
    <definedName name="CVTOSI">'[9]4 Vientos'!#REF!</definedName>
    <definedName name="CVTOSPE">'[10]4 Vientos'!#REF!</definedName>
    <definedName name="CVTOSPEU">'[10]4 Vientos'!#REF!</definedName>
    <definedName name="CVTOSPI">'[10]4 Vientos'!#REF!</definedName>
    <definedName name="CVTOSPUI">'[10]4 Vientos'!#REF!</definedName>
    <definedName name="CVTOSUI">'[9]4 Vientos'!#REF!</definedName>
    <definedName name="D" hidden="1">#REF!</definedName>
    <definedName name="dat" hidden="1">{"data",#N/A,FALSE,"INPUT"}</definedName>
    <definedName name="data" hidden="1">{"data",#N/A,FALSE,"INPUT"}</definedName>
    <definedName name="data1" hidden="1">{"data",#N/A,FALSE,"INPUT"}</definedName>
    <definedName name="DATA111" hidden="1">{"data",#N/A,FALSE,"INPUT"}</definedName>
    <definedName name="data2" hidden="1">{"data",#N/A,FALSE,"INPUT"}</definedName>
    <definedName name="data3" hidden="1">{"data",#N/A,FALSE,"INPUT"}</definedName>
    <definedName name="_xlnm.Database">#REF!</definedName>
    <definedName name="dataerror" hidden="1">{"data",#N/A,FALSE,"INPUT"}</definedName>
    <definedName name="ddff" hidden="1">{"data",#N/A,FALSE,"INPUT"}</definedName>
    <definedName name="decimalesredondeo">#REF!</definedName>
    <definedName name="departamento">#REF!</definedName>
    <definedName name="Derechos_CNA">#REF!</definedName>
    <definedName name="DF" hidden="1">#REF!</definedName>
    <definedName name="DFD" hidden="1">#REF!</definedName>
    <definedName name="DFGH" hidden="1">#REF!</definedName>
    <definedName name="DFGJ" hidden="1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dorado" hidden="1">#REF!</definedName>
    <definedName name="dorado1" hidden="1">{"Data Input",#N/A,TRUE,"Data Input";"15-Yr Cash Flow",#N/A,TRUE,"Cash Flow";"15-Yr Value",#N/A,TRUE,"Value "}</definedName>
    <definedName name="DORADO10" hidden="1">#REF!</definedName>
    <definedName name="dorado2" hidden="1">{"data",#N/A,FALSE,"INPUT"}</definedName>
    <definedName name="dorado3" hidden="1">{"data",#N/A,FALSE,"INPUT"}</definedName>
    <definedName name="dorado4" hidden="1">{"data",#N/A,FALSE,"INPUT"}</definedName>
    <definedName name="dorado5" hidden="1">{"data",#N/A,FALSE,"INPUT"}</definedName>
    <definedName name="dorado6" hidden="1">{"data",#N/A,FALSE,"INPUT"}</definedName>
    <definedName name="dorado7" hidden="1">#REF!</definedName>
    <definedName name="dorado8" hidden="1">{"data",#N/A,FALSE,"INPUT"}</definedName>
    <definedName name="DREAMLAGOON" hidden="1">#REF!</definedName>
    <definedName name="E" hidden="1">#REF!</definedName>
    <definedName name="edededededed" hidden="1">#REF!</definedName>
    <definedName name="eee" hidden="1">{"data",#N/A,FALSE,"INPUT"}</definedName>
    <definedName name="EFG" hidden="1">#REF!</definedName>
    <definedName name="email">#REF!</definedName>
    <definedName name="emailcliente">#REF!</definedName>
    <definedName name="emaildelaobra">#REF!</definedName>
    <definedName name="Enganche">#REF!</definedName>
    <definedName name="ENTRAS" hidden="1">#REF!</definedName>
    <definedName name="ENTRENWE" hidden="1">#REF!</definedName>
    <definedName name="ENTRIES" hidden="1">#REF!</definedName>
    <definedName name="ENTRIESS" hidden="1">#REF!</definedName>
    <definedName name="Escuela_Primaria">#REF!</definedName>
    <definedName name="EspacioAGS" hidden="1">#REF!</definedName>
    <definedName name="Estab_Sist_Agua">#REF!</definedName>
    <definedName name="Estab_Sist_Drenaje">#REF!</definedName>
    <definedName name="estado">#REF!</definedName>
    <definedName name="estadodelaobra">#REF!</definedName>
    <definedName name="Extracción_IM">#REF!</definedName>
    <definedName name="_xlnm.Extract">#REF!</definedName>
    <definedName name="fd" hidden="1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FGGG" hidden="1">#REF!</definedName>
    <definedName name="FINAL_CTO">#REF!</definedName>
    <definedName name="FINAL_IVA">#REF!</definedName>
    <definedName name="final_sop">[11]Contractual!$AB$594</definedName>
    <definedName name="FINAL_SOPORTE">[11]Contractual!#REF!</definedName>
    <definedName name="FinCta">#REF!</definedName>
    <definedName name="FORTE">#REF!</definedName>
    <definedName name="fsd" hidden="1">#REF!</definedName>
    <definedName name="g" hidden="1">#REF!</definedName>
    <definedName name="gdfgdgdeg">[8]Campestre!#REF!</definedName>
    <definedName name="gfd" hidden="1">#REF!</definedName>
    <definedName name="gggg" hidden="1">#REF!</definedName>
    <definedName name="H">[9]Herrerías!#REF!</definedName>
    <definedName name="haciendamompani" hidden="1">#REF!</definedName>
    <definedName name="HCARIBEEU">'[9]Hda. Caribe'!#REF!</definedName>
    <definedName name="HCARIBEI">'[9]Hda. Caribe'!#REF!</definedName>
    <definedName name="HCARIBEPE">'[10]Hda. Caribe'!#REF!</definedName>
    <definedName name="HCARIBEPEU">'[10]Hda. Caribe'!#REF!</definedName>
    <definedName name="HCARIBEPI">'[10]Hda. Caribe'!#REF!</definedName>
    <definedName name="HCARIBEPUI">'[10]Hda. Caribe'!#REF!</definedName>
    <definedName name="HCARIBEUI">'[9]Hda. Caribe'!#REF!</definedName>
    <definedName name="herraje">[12]Tabla!$A$1:$P$1219</definedName>
    <definedName name="HERRERIASEU">[9]Herrerías!#REF!</definedName>
    <definedName name="HERRERIASI">[9]Herrerías!#REF!</definedName>
    <definedName name="HERRERIASPE">[10]Herrerías!#REF!</definedName>
    <definedName name="HERRERIASPEU">[10]Herrerías!#REF!</definedName>
    <definedName name="HERRERIASPI">[10]Herrerías!#REF!</definedName>
    <definedName name="HERRERIASPUI">[10]Herrerías!#REF!</definedName>
    <definedName name="HERRERIASUI">[9]Herrerías!#REF!</definedName>
    <definedName name="Hidroneumatico">#REF!</definedName>
    <definedName name="HJIKJKG" hidden="1">{"data",#N/A,FALSE,"INPUT"}</definedName>
    <definedName name="HTML_CodePage" hidden="1">1252</definedName>
    <definedName name="HTML_Description" hidden="1">""</definedName>
    <definedName name="HTML_Email" hidden="1">""</definedName>
    <definedName name="HTML_Header" hidden="1">"Final Summary"</definedName>
    <definedName name="HTML_LastUpdate" hidden="1">"31/05/01"</definedName>
    <definedName name="HTML_LineAfter" hidden="1">FALSE</definedName>
    <definedName name="HTML_LineBefore" hidden="1">FALSE</definedName>
    <definedName name="HTML_Name" hidden="1">"Jarvis IT"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Documents\HTMLTemp.htm"</definedName>
    <definedName name="HTML_Title" hidden="1">"Draft Cost Auth"</definedName>
    <definedName name="hvhvhvvku" hidden="1">#REF!</definedName>
    <definedName name="I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idania">#REF!</definedName>
    <definedName name="Imp_sobre_Fraccionameinto">#REF!</definedName>
    <definedName name="Imprevistos_Equip.">#REF!</definedName>
    <definedName name="Imprevistos_Infra">#REF!</definedName>
    <definedName name="imss">#REF!</definedName>
    <definedName name="Inflación_Mensual">#REF!</definedName>
    <definedName name="infonavit">#REF!</definedName>
    <definedName name="INI">#REF!</definedName>
    <definedName name="Interés_Mensual_Construccion">#REF!</definedName>
    <definedName name="Interés_Mensual_Credito_Fovi">#REF!</definedName>
    <definedName name="Interés_Mensual_Credito_Prosavi">#REF!</definedName>
    <definedName name="IO" hidden="1">{#N/A,#N/A,TRUE,"Summary";#N/A,#N/A,TRUE,"Stack";#N/A,#N/A,TRUE,"Assumptions";#N/A,#N/A,TRUE,"Budget";#N/A,#N/A,TRUE,"Financing";#N/A,#N/A,TRUE,"Rental Summary";#N/A,#N/A,TRUE,"Condo Summary";#N/A,#N/A,TRUE,"Consol Summ"}</definedName>
    <definedName name="Jardin">#REF!</definedName>
    <definedName name="Jardin_de_Niños">#REF!</definedName>
    <definedName name="JARDINES2PE">'[8]Jard San Miguel (2)'!#REF!</definedName>
    <definedName name="JARDINES2PEU">'[8]Jard San Miguel (2)'!#REF!</definedName>
    <definedName name="JARDINES2PI">'[8]Jard San Miguel (2)'!#REF!</definedName>
    <definedName name="JARDINES2PUI">'[8]Jard San Miguel (2)'!#REF!</definedName>
    <definedName name="JARDINESPE">'[8]Jard San Miguel'!#REF!</definedName>
    <definedName name="JARDINESPEU">'[8]Jard San Miguel'!#REF!</definedName>
    <definedName name="JARDINESPI">'[8]Jard San Miguel'!#REF!</definedName>
    <definedName name="JARDINESPUI">'[8]Jard San Miguel'!#REF!</definedName>
    <definedName name="Juegos_Infantiles">#REF!</definedName>
    <definedName name="KOI" hidden="1">#REF!</definedName>
    <definedName name="KSUXH" hidden="1">{"data",#N/A,FALSE,"INPUT"}</definedName>
    <definedName name="L" hidden="1">{"data",#N/A,FALSE,"INPUT"}</definedName>
    <definedName name="Lic_Est_Uso_de_Suelo">#REF!</definedName>
    <definedName name="Licencia_de_Const.">#REF!</definedName>
    <definedName name="linea1">#REF!</definedName>
    <definedName name="Locales_Comerciales">#REF!</definedName>
    <definedName name="lomabonita" hidden="1">#REF!</definedName>
    <definedName name="losheroes" hidden="1">#REF!</definedName>
    <definedName name="LotesCampestres" hidden="1">#REF!</definedName>
    <definedName name="mailcontacto">#REF!</definedName>
    <definedName name="mailvendedor">#REF!</definedName>
    <definedName name="MANEJO">[7]LISTAS!$B$66:$B$67</definedName>
    <definedName name="MANOLO" hidden="1">#REF!</definedName>
    <definedName name="Meses_a_pag._enganche">#REF!</definedName>
    <definedName name="mev" hidden="1">{"data",#N/A,FALSE,"INPUT"}</definedName>
    <definedName name="min">#REF!</definedName>
    <definedName name="mm">#REF!</definedName>
    <definedName name="mmm">#REF!</definedName>
    <definedName name="Mobiliario_Escuelas">#REF!</definedName>
    <definedName name="NG">'[13]TOTALES-A'!$J$51</definedName>
    <definedName name="No.Total_de_Viv">#REF!</definedName>
    <definedName name="nombrecliente">#REF!</definedName>
    <definedName name="nombredelaobra">#REF!</definedName>
    <definedName name="nombrevendedor">#REF!</definedName>
    <definedName name="Novivs">#REF!</definedName>
    <definedName name="NUEVO" hidden="1">#REF!</definedName>
    <definedName name="numconvocatoria">#REF!</definedName>
    <definedName name="numerodeconcurso">#REF!</definedName>
    <definedName name="nyujnhn" hidden="1">#REF!</definedName>
    <definedName name="OBISPADO" hidden="1">{"data",#N/A,FALSE,"INPUT"}</definedName>
    <definedName name="OLE_LINK1">#REF!</definedName>
    <definedName name="OLIMPOPE">[8]OLIMPO!#REF!</definedName>
    <definedName name="OLIMPOPEU">[8]OLIMPO!#REF!</definedName>
    <definedName name="OLIMPOPI">[8]OLIMPO!#REF!</definedName>
    <definedName name="OLIMPOPUI">[8]OLIMPO!#REF!</definedName>
    <definedName name="OLOLLOL" hidden="1">#REF!</definedName>
    <definedName name="OLOLOL" hidden="1">#REF!</definedName>
    <definedName name="OLOLOLOLOLOL" hidden="1">#REF!</definedName>
    <definedName name="OPT2_DO_01_97">#REF!</definedName>
    <definedName name="OR">#REF!</definedName>
    <definedName name="ORIGINAL" hidden="1">#REF!</definedName>
    <definedName name="Otros">#REF!</definedName>
    <definedName name="p" hidden="1">{"data",#N/A,FALSE,"INPUT"}</definedName>
    <definedName name="PA" hidden="1">#REF!</definedName>
    <definedName name="PALBAPE">'[8]P del Alba'!#REF!</definedName>
    <definedName name="PALBAPEU">'[8]P del Alba'!#REF!</definedName>
    <definedName name="PALBAPI">'[8]P del Alba'!#REF!</definedName>
    <definedName name="PALBAPUI">'[8]P del Alba'!#REF!</definedName>
    <definedName name="PALEGREPE">'[10]Porto Alegre'!#REF!</definedName>
    <definedName name="PALEGREPEU">'[10]Porto Alegre'!#REF!</definedName>
    <definedName name="PALEGREPI">'[10]Porto Alegre'!#REF!</definedName>
    <definedName name="PALEGREPUI">'[10]Porto Alegre'!#REF!</definedName>
    <definedName name="PANGELPE">'[10]P del Angel'!#REF!</definedName>
    <definedName name="PANGELPEU">'[10]P del Angel'!#REF!</definedName>
    <definedName name="PANGELPI">'[10]P del Angel'!#REF!</definedName>
    <definedName name="PANGELPUI">'[10]P del Angel'!#REF!</definedName>
    <definedName name="PBELLOPE">'[10]Porto Bello'!#REF!</definedName>
    <definedName name="PBELLOPEU">'[10]Porto Bello'!#REF!</definedName>
    <definedName name="PBELLOPI">'[10]Porto Bello'!#REF!</definedName>
    <definedName name="PBELLOPUI">'[10]Porto Bello'!#REF!</definedName>
    <definedName name="PCAR2">#REF!</definedName>
    <definedName name="pdn" hidden="1">{"Data Input",#N/A,TRUE,"Data Input";"15-Yr Cash Flow",#N/A,TRUE,"Cash Flow";"15-Yr Value",#N/A,TRUE,"Value "}</definedName>
    <definedName name="PFSA" hidden="1">#REF!</definedName>
    <definedName name="Plan">#REF!</definedName>
    <definedName name="PLANA" hidden="1">#REF!</definedName>
    <definedName name="Planta_de_Tratamiento">#REF!</definedName>
    <definedName name="PLAZA" hidden="1">#REF!</definedName>
    <definedName name="PLAZAABC" hidden="1">{"data",#N/A,FALSE,"INPUT"}</definedName>
    <definedName name="plazocalculado">#REF!</definedName>
    <definedName name="plazoreal">#REF!</definedName>
    <definedName name="Porc">#REF!</definedName>
    <definedName name="porcentajeivapresupuesto">#REF!</definedName>
    <definedName name="Pozo_de_Absorción">#REF!</definedName>
    <definedName name="Pozo_de_Agua">#REF!</definedName>
    <definedName name="PR">'[14]Contractual enero '!#REF!</definedName>
    <definedName name="PRECIOS">#REF!</definedName>
    <definedName name="primeramoneda">#REF!</definedName>
    <definedName name="_xlnm.Print_Area">#REF!</definedName>
    <definedName name="_xlnm.Print_Titles">#N/A</definedName>
    <definedName name="PROD">[7]LISTAS!$B$33:$B$56</definedName>
    <definedName name="PRODUCTO">[7]LISTAS!$B$33:$B$59</definedName>
    <definedName name="PROGRAMA">#REF!</definedName>
    <definedName name="prototipo">[15]Datos!$D$3:$D$32</definedName>
    <definedName name="PVALLE1">#REF!</definedName>
    <definedName name="PVALLE2PE">'[8]P del Valle II'!#REF!</definedName>
    <definedName name="PVALLE2PEU">'[8]P del Valle II'!#REF!</definedName>
    <definedName name="PVALLE2PI">'[8]P del Valle II'!#REF!</definedName>
    <definedName name="PVALLE2PUI">'[8]P del Valle II'!#REF!</definedName>
    <definedName name="q" hidden="1">#REF!</definedName>
    <definedName name="QE" hidden="1">#REF!</definedName>
    <definedName name="razonsocial">#REF!</definedName>
    <definedName name="REFUGIOPE">'[8]El Refugio'!#REF!</definedName>
    <definedName name="REFUGIOPEU">'[8]El Refugio'!#REF!</definedName>
    <definedName name="REFUGIOPI">'[8]El Refugio'!#REF!</definedName>
    <definedName name="REFUGIOPUI">'[8]El Refugio'!#REF!</definedName>
    <definedName name="remateprimeramoneda">#REF!</definedName>
    <definedName name="rematesegundamoneda">#REF!</definedName>
    <definedName name="RESIDENCIAL" hidden="1">#REF!</definedName>
    <definedName name="responsable">#REF!</definedName>
    <definedName name="responsabledelaobra">#REF!</definedName>
    <definedName name="RESTAURANTES" hidden="1">#REF!</definedName>
    <definedName name="rfc">#REF!</definedName>
    <definedName name="rfrfrfr" hidden="1">#REF!</definedName>
    <definedName name="RINCBOSQUEPE">'[8]Rinconada del Bosque ( León )'!#REF!</definedName>
    <definedName name="RINCBOSQUEPEU">'[8]Rinconada del Bosque ( León )'!#REF!</definedName>
    <definedName name="RINCBOSQUEPI">'[8]Rinconada del Bosque ( León )'!#REF!</definedName>
    <definedName name="RINCBOSQUEPUI">'[8]Rinconada del Bosque ( León )'!#REF!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TRUE</definedName>
    <definedName name="RiskMonitorConvergence" hidden="1">FALSE</definedName>
    <definedName name="RiskMultipleCPUSupportEnabled" hidden="1">TRUE</definedName>
    <definedName name="RiskNumIterations" hidden="1">-1</definedName>
    <definedName name="RiskNumSimulations" hidden="1">1</definedName>
    <definedName name="RiskPauseOnError" hidden="1">TRUE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MAR">#REF!</definedName>
    <definedName name="ROSARIOPE">'[10]El Rosario'!#REF!</definedName>
    <definedName name="ROSARIOPEU">'[10]El Rosario'!#REF!</definedName>
    <definedName name="ROSARIOPI">'[10]El Rosario'!#REF!</definedName>
    <definedName name="ROSARIOPUI">'[10]El Rosario'!#REF!</definedName>
    <definedName name="rrcwdse">#REF!</definedName>
    <definedName name="S" hidden="1">{"data",#N/A,FALSE,"INPUT"}</definedName>
    <definedName name="S.P.">#REF!</definedName>
    <definedName name="sakjd" hidden="1">{"Data Input",#N/A,TRUE,"Data Input";"15-Yr Cash Flow",#N/A,TRUE,"Cash Flow";"15-Yr Value",#N/A,TRUE,"Value "}</definedName>
    <definedName name="Salario_Minimo">#REF!</definedName>
    <definedName name="SAU2PE">'[8]Los Sauces II'!#REF!</definedName>
    <definedName name="SAU2PEU">'[8]Los Sauces II'!#REF!</definedName>
    <definedName name="SAU2PI">'[8]Los Sauces II'!#REF!</definedName>
    <definedName name="SAU2PUI">'[8]Los Sauces II'!#REF!</definedName>
    <definedName name="SAU3PE">'[8]Los Sauces III'!#REF!</definedName>
    <definedName name="SAU3PEU">'[8]Los Sauces III'!#REF!</definedName>
    <definedName name="SAU3PI">'[8]Los Sauces III'!#REF!</definedName>
    <definedName name="SAU3PUI">'[8]Los Sauces III'!#REF!</definedName>
    <definedName name="SAU4PE">'[8]Los Sauces IV'!#REF!</definedName>
    <definedName name="SAU4PEU">'[8]Los Sauces IV'!#REF!</definedName>
    <definedName name="SAU4PI">'[8]Los Sauces IV'!#REF!</definedName>
    <definedName name="SAU4PUI">'[8]Los Sauces IV'!#REF!</definedName>
    <definedName name="SBUENA2EU">'[9]San Buena II'!#REF!</definedName>
    <definedName name="SBUENA2I">'[9]San Buena II'!#REF!</definedName>
    <definedName name="SBUENA2PE">'[9]San Buena II'!#REF!</definedName>
    <definedName name="SBUENA2PEU">'[9]San Buena II'!#REF!</definedName>
    <definedName name="SBUENA2PI">'[9]San Buena II'!#REF!</definedName>
    <definedName name="SBUENA2PUI">'[9]San Buena II'!#REF!</definedName>
    <definedName name="SBUENA2UI">'[9]San Buena II'!#REF!</definedName>
    <definedName name="SBUENA3EU">'[9]San Buena III'!#REF!</definedName>
    <definedName name="SBUENA3I">'[9]San Buena III'!#REF!</definedName>
    <definedName name="SBUENA3PE">'[10]San Buena III'!#REF!</definedName>
    <definedName name="SBUENA3PEU">'[10]San Buena III'!#REF!</definedName>
    <definedName name="SBUENA3PI">'[10]San Buena III'!#REF!</definedName>
    <definedName name="SBUENA3PUI">'[10]San Buena III'!#REF!</definedName>
    <definedName name="SBUENA3UI">'[9]San Buena III'!#REF!</definedName>
    <definedName name="SBUENA4EU">'[9]San Buena IV'!#REF!</definedName>
    <definedName name="SBUENA4I">'[9]San Buena IV'!#REF!</definedName>
    <definedName name="SBUENA4PE">'[10]San Buena IV'!#REF!</definedName>
    <definedName name="SBUENA4PEU">'[10]San Buena IV'!#REF!</definedName>
    <definedName name="SBUENA4PI">'[10]San Buena IV'!#REF!</definedName>
    <definedName name="SBUENA4PUI">'[10]San Buena IV'!#REF!</definedName>
    <definedName name="SBUENA4UI">'[9]San Buena IV'!#REF!</definedName>
    <definedName name="SBUENA5EU">'[9]San Buena V'!#REF!</definedName>
    <definedName name="SBUENA5I">'[9]San Buena V'!#REF!</definedName>
    <definedName name="SBUENA5PE">'[10]San Buena V'!#REF!</definedName>
    <definedName name="SBUENA5PEU">'[10]San Buena V'!#REF!</definedName>
    <definedName name="SBUENA5PI">'[10]San Buena V'!#REF!</definedName>
    <definedName name="SBUENA5PUI">'[10]San Buena V'!#REF!</definedName>
    <definedName name="SBUENA5UI">'[9]San Buena V'!#REF!</definedName>
    <definedName name="SBUENA6EU">'[9]San Buena VI'!#REF!</definedName>
    <definedName name="SBUENA6I">'[9]San Buena VI'!#REF!</definedName>
    <definedName name="SBUENA6PE">'[10]San Buena VI'!#REF!</definedName>
    <definedName name="SBUENA6PEU">'[10]San Buena VI'!#REF!</definedName>
    <definedName name="SBUENA6PI">'[10]San Buena VI'!#REF!</definedName>
    <definedName name="SBUENA6PUI">'[10]San Buena VI'!#REF!</definedName>
    <definedName name="SBUENA6UI">'[9]San Buena VI'!#REF!</definedName>
    <definedName name="SCLARAPE">'[10]Real de Sta. Clara'!#REF!</definedName>
    <definedName name="SCLARAPEU">'[10]Real de Sta. Clara'!#REF!</definedName>
    <definedName name="SCLARAPI">'[10]Real de Sta. Clara'!#REF!</definedName>
    <definedName name="SCLARAPUI">'[10]Real de Sta. Clara'!#REF!</definedName>
    <definedName name="sd" hidden="1">#REF!</definedName>
    <definedName name="SDENIS">#REF!</definedName>
    <definedName name="segundamoneda">#REF!</definedName>
    <definedName name="SEM" hidden="1">#REF!</definedName>
    <definedName name="Serv_Conex_Agua">#REF!</definedName>
    <definedName name="Serv_Conex_drenaje">#REF!</definedName>
    <definedName name="SJORGEPE">[8]SJORGE!#REF!</definedName>
    <definedName name="SJORGEPEU">[8]SJORGE!#REF!</definedName>
    <definedName name="SJORGEPI">[8]SJORGE!#REF!</definedName>
    <definedName name="SJORGEPUI">[8]SJORGE!#REF!</definedName>
    <definedName name="SMIGUELPE">[8]SanMiguel!#REF!</definedName>
    <definedName name="SMIGUELPEU">[8]SanMiguel!#REF!</definedName>
    <definedName name="SMIGUELPI">[8]SanMiguel!#REF!</definedName>
    <definedName name="SMIGUELPUI">[8]SanMiguel!#REF!</definedName>
    <definedName name="SMITCHELPE">[10]StMitchel!#REF!</definedName>
    <definedName name="SMITCHELPEU">[10]StMitchel!#REF!</definedName>
    <definedName name="SMITCHELPI">[10]StMitchel!#REF!</definedName>
    <definedName name="SMITCHELPUI">[10]StMitchel!#REF!</definedName>
    <definedName name="SMONICAPE">'[8]Sta Monica'!#REF!</definedName>
    <definedName name="SMONICAPEU">'[8]Sta Monica'!#REF!</definedName>
    <definedName name="SMONICAPI">'[8]Sta Monica'!#REF!</definedName>
    <definedName name="SMONICAPUI">'[8]Sta Monica'!#REF!</definedName>
    <definedName name="SMORITZPE">[10]StMoritz!#REF!</definedName>
    <definedName name="SMORITZPEU">[10]StMoritz!#REF!</definedName>
    <definedName name="SMORITZPI">[10]StMoritz!#REF!</definedName>
    <definedName name="SMORITZPUI">[10]StMoritz!#REF!</definedName>
    <definedName name="ss">#REF!</definedName>
    <definedName name="SSDD" hidden="1">{"data",#N/A,FALSE,"INPUT"}</definedName>
    <definedName name="SSSSS" hidden="1">#REF!</definedName>
    <definedName name="status">'[14]Contractual enero '!#REF!</definedName>
    <definedName name="status2">'[14]Contractual enero '!#REF!</definedName>
    <definedName name="status3">'[14]Contractual enero '!#REF!</definedName>
    <definedName name="status4">'[14]Contractual enero '!#REF!</definedName>
    <definedName name="STS" hidden="1">{"Data Input",#N/A,TRUE,"Data Input";"15-Yr Cash Flow",#N/A,TRUE,"Cash Flow";"15-Yr Value",#N/A,TRUE,"Value "}</definedName>
    <definedName name="SUMA" hidden="1">{#N/A,#N/A,TRUE,"Summary";#N/A,#N/A,TRUE,"Budget";#N/A,#N/A,TRUE,"Assumptions"}</definedName>
    <definedName name="Sup_de_Terreno">#REF!</definedName>
    <definedName name="SUPERMERCADO">#REF!</definedName>
    <definedName name="Superv_D.U.">#REF!</definedName>
    <definedName name="SVICENTEPE">[10]SnVicenteChic!#REF!</definedName>
    <definedName name="SVICENTEPEU">[10]SnVicenteChic!#REF!</definedName>
    <definedName name="SVICENTEPI">[10]SnVicenteChic!#REF!</definedName>
    <definedName name="SVICENTEPUI">[10]SnVicenteChic!#REF!</definedName>
    <definedName name="TABLA" hidden="1">{"data",#N/A,FALSE,"INPUT"}</definedName>
    <definedName name="TC">#REF!</definedName>
    <definedName name="TE">[16]control_01!$H$1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EPE">#REF!</definedName>
    <definedName name="Terminacion_de_Obra">#REF!</definedName>
    <definedName name="TERRENO.PALMA3">[4]Flujo!#REF!</definedName>
    <definedName name="test" hidden="1">{#N/A,#N/A,TRUE,"Cover";#N/A,#N/A,TRUE,"Summary";#N/A,#N/A,TRUE,"Assumptions";#N/A,#N/A,TRUE,"Stack";#N/A,#N/A,TRUE,"Budget";#N/A,#N/A,TRUE,"Condo Summary";#N/A,#N/A,TRUE,"Sellout Summary"}</definedName>
    <definedName name="tete" hidden="1">#REF!</definedName>
    <definedName name="TF">[16]control_01!$H$1</definedName>
    <definedName name="tgyhth" hidden="1">#REF!</definedName>
    <definedName name="TIPO">[7]LISTAS!$C$33:$C$55</definedName>
    <definedName name="tipodelicitacion">#REF!</definedName>
    <definedName name="Tit_plan">#REF!</definedName>
    <definedName name="Tit_ubics">#REF!</definedName>
    <definedName name="TM">#REF!</definedName>
    <definedName name="to">[17]condos!$B$47</definedName>
    <definedName name="TORREOCAMPO" hidden="1">#REF!</definedName>
    <definedName name="totalpresupuestoprimeramoneda">#REF!</definedName>
    <definedName name="totalpresupuestosegundamoneda">#REF!</definedName>
    <definedName name="TP">[17]condos!$B$22</definedName>
    <definedName name="TT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TwtgVRGD" hidden="1">{"data",#N/A,FALSE,"INPUT"}</definedName>
    <definedName name="u" hidden="1">{"data",#N/A,FALSE,"INPUT"}</definedName>
    <definedName name="Ubicaciones">#REF!</definedName>
    <definedName name="Unidad_Medica">#REF!</definedName>
    <definedName name="Valor_Tot_Proy_pesos">#REF!</definedName>
    <definedName name="valuevx">42.314159</definedName>
    <definedName name="VANGELPE">'[10]V del Angel'!#REF!</definedName>
    <definedName name="VANGELPEU">'[10]V del Angel'!#REF!</definedName>
    <definedName name="VANGELPI">'[10]V del Angel'!#REF!</definedName>
    <definedName name="VANGELPUI">'[10]V del Angel'!#REF!</definedName>
    <definedName name="VATLIXCOPE">'[10]V Atlixco SA20'!#REF!</definedName>
    <definedName name="VATLIXCOPEU">'[10]V Atlixco SA20'!#REF!</definedName>
    <definedName name="VATLIXCOPI">'[10]V Atlixco SA20'!#REF!</definedName>
    <definedName name="VATLIXCOPUI">'[10]V Atlixco SA20'!#REF!</definedName>
    <definedName name="VCARR520">#REF!</definedName>
    <definedName name="Vialidad">#REF!</definedName>
    <definedName name="VIRREYESPE">'[8]L Virreyes'!#REF!</definedName>
    <definedName name="VIRREYESPEU">'[8]L Virreyes'!#REF!</definedName>
    <definedName name="VIRREYESPI">'[8]L Virreyes'!#REF!</definedName>
    <definedName name="VIRREYESPUI">'[8]L Virreyes'!#REF!</definedName>
    <definedName name="VMAREU">#REF!</definedName>
    <definedName name="VMARI">#REF!</definedName>
    <definedName name="VMARMAZ">#REF!</definedName>
    <definedName name="VMARPE">#REF!</definedName>
    <definedName name="VMARPEU">#REF!</definedName>
    <definedName name="VMARPI">#REF!</definedName>
    <definedName name="VMARPUI">#REF!</definedName>
    <definedName name="VMARR500">#REF!</definedName>
    <definedName name="VMARUI">#REF!</definedName>
    <definedName name="VPDIAMANTEEU">#REF!</definedName>
    <definedName name="VPDIAMANTEI">#REF!</definedName>
    <definedName name="VPDIAMANTEPE">#REF!</definedName>
    <definedName name="VPDIAMANTEPEU">#REF!</definedName>
    <definedName name="VPDIAMANTEPI">#REF!</definedName>
    <definedName name="VPDIAMANTEPUI">#REF!</definedName>
    <definedName name="VPDIAMANTEUI">#REF!</definedName>
    <definedName name="vv">'[18]Contractual enero '!#REF!</definedName>
    <definedName name="wm.EST2." hidden="1">{#N/A,#N/A,FALSE,"Conc-est";#N/A,#N/A,FALSE,"Avce-Mza-VIII";#N/A,#N/A,FALSE,"Avce-Mza-IX";#N/A,#N/A,FALSE,"resumen"}</definedName>
    <definedName name="WN.2ERDTFHKJIUY" hidden="1">{#N/A,#N/A,TRUE,"Summary";#N/A,#N/A,TRUE,"Budget"}</definedName>
    <definedName name="WN.rEVENUE" hidden="1">{#N/A,#N/A,TRUE,"RENT SCHD";#N/A,#N/A,TRUE,"OER SCHD"}</definedName>
    <definedName name="wrn.10._.Year._.Analysis." hidden="1">{"Data Input",#N/A,TRUE,"Data Input";"10-Yr Cash Flow",#N/A,TRUE,"Cash Flow";"10-Yr Value",#N/A,TRUE,"Value "}</definedName>
    <definedName name="wrn.15._.Year._.Analysis." hidden="1">{"Data Input",#N/A,TRUE,"Data Input";"15-Yr Cash Flow",#N/A,TRUE,"Cash Flow";"15-Yr Value",#N/A,TRUE,"Value 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Cost._.Schedules." hidden="1">{#N/A,#N/A,TRUE,"CNST SCHD";#N/A,#N/A,TRUE,"TI SCHD";#N/A,#N/A,TRUE,"COM SCHD";#N/A,#N/A,TRUE,"LU INT-FFO SCHD"}</definedName>
    <definedName name="WRN.DATA" hidden="1">{"data",#N/A,FALSE,"INPUT"}</definedName>
    <definedName name="wrn.data." hidden="1">{"data",#N/A,FALSE,"INPUT"}</definedName>
    <definedName name="wrn.data1" hidden="1">{"data",#N/A,FALSE,"INPUT"}</definedName>
    <definedName name="wrn.EST1." hidden="1">{#N/A,#N/A,FALSE,"Conc-est";#N/A,#N/A,FALSE,"Avce-Mza-VIII";#N/A,#N/A,FALSE,"Avce-Mza-IX";#N/A,#N/A,FALSE,"resumen"}</definedName>
    <definedName name="wrn.Input._.Assumption._.Sheets." hidden="1">{#N/A,#N/A,TRUE,"inp. genl.";#N/A,#N/A,TRUE,"inp. cnst. cost";#N/A,#N/A,TRUE,"inp. lease-up";#N/A,#N/A,TRUE,"inp. exp."}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master." hidden="1">{#N/A,#N/A,FALSE,"TITLE PAGE";#N/A,#N/A,FALSE,"SUMMARY";#N/A,#N/A,FALSE,"ADD-CUT";#N/A,#N/A,FALSE,"PCT DIST";#N/A,#N/A,FALSE,"BOND";#N/A,#N/A,FALSE,"DESIGN";#N/A,#N/A,FALSE,"GEN COND";#N/A,#N/A,FALSE,"DIV 2";#N/A,#N/A,FALSE,"DIV 3";#N/A,#N/A,FALSE,"DIV 4";#N/A,#N/A,FALSE,"DIV 5";#N/A,#N/A,FALSE,"DIV 6";#N/A,#N/A,FALSE,"DIV 7";#N/A,#N/A,FALSE,"DIV 8";#N/A,#N/A,FALSE,"DIV 9";#N/A,#N/A,FALSE,"DIV 10";#N/A,#N/A,FALSE,"DIV 11";#N/A,#N/A,FALSE,"DIV 12";#N/A,#N/A,FALSE,"DIV 13";#N/A,#N/A,FALSE,"DIV 14";#N/A,#N/A,FALSE,"DIV 15";#N/A,#N/A,FALSE,"DIV 16";#N/A,#N/A,FALSE,"DIV 17"}</definedName>
    <definedName name="wrn.ODB" hidden="1">{"ODB",#N/A,FALSE,"Hold Scenario"}</definedName>
    <definedName name="wrn.ODB." hidden="1">{"ODB",#N/A,FALSE,"Hold Scenario"}</definedName>
    <definedName name="wrn.Output." hidden="1">{#N/A,#N/A,TRUE,"Summary";#N/A,#N/A,TRUE,"Stack";#N/A,#N/A,TRUE,"Assumptions";#N/A,#N/A,TRUE,"Budget";#N/A,#N/A,TRUE,"Financing";#N/A,#N/A,TRUE,"Rental Summary";#N/A,#N/A,TRUE,"Condo Summary";#N/A,#N/A,TRUE,"Consol Summ"}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Rental._.Scenario." hidden="1">{#N/A,#N/A,TRUE,"Summary";#N/A,#N/A,TRUE,"Rental Summary";#N/A,#N/A,TRUE,"Budget";#N/A,#N/A,TRUE,"Assumptions";#N/A,#N/A,TRUE,"Financing"}</definedName>
    <definedName name="wrn.Revenue._.Schedules." hidden="1">{#N/A,#N/A,TRUE,"RENT SCHD";#N/A,#N/A,TRUE,"OER SCHD"}</definedName>
    <definedName name="wrn.summary." hidden="1">{#N/A,#N/A,FALSE,"TITLE PAGE";#N/A,#N/A,FALSE,"SUMMARY";#N/A,#N/A,FALSE,"BUYOUT";#N/A,#N/A,FALSE,"PCT DIST";#N/A,#N/A,FALSE,"BOND";#N/A,#N/A,FALSE,"GEN COND"}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WT_SELF._.PERFORM." hidden="1">{#N/A,#N/A,FALSE,"WT DEMO EST";#N/A,#N/A,FALSE,"WT CONC EST";#N/A,#N/A,FALSE,"FREEZER MISC. METALS";#N/A,#N/A,FALSE,"WT FINISHES";#N/A,#N/A,FALSE,"WT SPECIALITIES";#N/A,#N/A,FALSE,"WT EQUIPMENT";#N/A,#N/A,FALSE,"WT COLD STORAGE"}</definedName>
    <definedName name="www" hidden="1">{"data",#N/A,FALSE,"INPUT"}</definedName>
    <definedName name="X">[16]control_01!$H$1</definedName>
    <definedName name="xx">[16]control_01!$H$1</definedName>
    <definedName name="xxx">[16]control_01!$H$1</definedName>
    <definedName name="Y56Y5B" hidden="1">#REF!</definedName>
    <definedName name="yhyhyuhuy" hidden="1">#REF!</definedName>
    <definedName name="ZAVALETAPE">'[10]Real de Zavaleta'!#REF!</definedName>
    <definedName name="ZAVALETAPEU">'[10]Real de Zavaleta'!#REF!</definedName>
    <definedName name="ZAVALETAPI">'[10]Real de Zavaleta'!#REF!</definedName>
    <definedName name="ZAVALETAPUI">'[10]Real de Zavaleta'!#REF!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8" i="1" l="1"/>
  <c r="F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38" i="1" l="1"/>
  <c r="L38" i="1"/>
</calcChain>
</file>

<file path=xl/sharedStrings.xml><?xml version="1.0" encoding="utf-8"?>
<sst xmlns="http://schemas.openxmlformats.org/spreadsheetml/2006/main" count="99" uniqueCount="57">
  <si>
    <t>Disponibilidad</t>
  </si>
  <si>
    <t>Total</t>
  </si>
  <si>
    <t>The Cliff Club Residences | Torre B</t>
  </si>
  <si>
    <t>Unidad</t>
  </si>
  <si>
    <t>Piso</t>
  </si>
  <si>
    <t>Modelo</t>
  </si>
  <si>
    <t>M2 Totales</t>
  </si>
  <si>
    <t>Interior</t>
  </si>
  <si>
    <t>Terraza</t>
  </si>
  <si>
    <t>PH</t>
  </si>
  <si>
    <t>Jardín</t>
  </si>
  <si>
    <t>Bodegas</t>
  </si>
  <si>
    <t>Precio x m2</t>
  </si>
  <si>
    <t>Precio de Venta</t>
  </si>
  <si>
    <t>B 101</t>
  </si>
  <si>
    <t>4 Bedroom A + PH</t>
  </si>
  <si>
    <t>B 102</t>
  </si>
  <si>
    <t>4 Bedroom B + PH</t>
  </si>
  <si>
    <t>B 103</t>
  </si>
  <si>
    <t>B 104</t>
  </si>
  <si>
    <t>B 201</t>
  </si>
  <si>
    <t>4 Bedroom A</t>
  </si>
  <si>
    <t>B 202</t>
  </si>
  <si>
    <t xml:space="preserve">2 Bedroom A </t>
  </si>
  <si>
    <t>B 203</t>
  </si>
  <si>
    <t xml:space="preserve">1 Bedroom A </t>
  </si>
  <si>
    <t>B 204</t>
  </si>
  <si>
    <t>B 205</t>
  </si>
  <si>
    <t>B 206</t>
  </si>
  <si>
    <t xml:space="preserve">3 Bedroom A </t>
  </si>
  <si>
    <t xml:space="preserve">B 301 </t>
  </si>
  <si>
    <t xml:space="preserve">4 Bedroom A </t>
  </si>
  <si>
    <t>B 302</t>
  </si>
  <si>
    <t>B 303</t>
  </si>
  <si>
    <t xml:space="preserve">B 304 </t>
  </si>
  <si>
    <t>B 305</t>
  </si>
  <si>
    <t>B 306</t>
  </si>
  <si>
    <t>B 401</t>
  </si>
  <si>
    <t>B 402</t>
  </si>
  <si>
    <t>B 403</t>
  </si>
  <si>
    <t xml:space="preserve">B 404 </t>
  </si>
  <si>
    <t>B 405</t>
  </si>
  <si>
    <t>B 406</t>
  </si>
  <si>
    <t>B 501</t>
  </si>
  <si>
    <t>4 Bedroom A + FG</t>
  </si>
  <si>
    <t>B 502</t>
  </si>
  <si>
    <t>2 Bedroom A + FG</t>
  </si>
  <si>
    <t>B 503</t>
  </si>
  <si>
    <t>1 Bedroom A + FG</t>
  </si>
  <si>
    <t>B 504</t>
  </si>
  <si>
    <t>B 505</t>
  </si>
  <si>
    <t>B 506</t>
  </si>
  <si>
    <t>3 Bedroom A + FG</t>
  </si>
  <si>
    <r>
      <t xml:space="preserve">BCS CSL The Cliff Club Residences | </t>
    </r>
    <r>
      <rPr>
        <b/>
        <sz val="11"/>
        <color rgb="FF618DA2"/>
        <rFont val="Calibri"/>
        <family val="2"/>
        <scheme val="minor"/>
      </rPr>
      <t>Inventario Torre B</t>
    </r>
  </si>
  <si>
    <t>Available</t>
  </si>
  <si>
    <t>Sold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</si>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</sst>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18DA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7"/>
      <color theme="1"/>
      <name val="Roboto serif"/>
    </font>
  </fonts>
  <fills count="3">
    <fill>
      <patternFill patternType="none"/>
    </fill>
    <fill>
      <patternFill patternType="gray125"/>
    </fill>
    <fill>
      <patternFill patternType="solid">
        <fgColor rgb="FF618DA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2" fillId="0" borderId="0" xfId="3" applyFont="1" applyAlignment="1">
      <alignment horizontal="left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43" fontId="0" fillId="0" borderId="0" xfId="1" applyFont="1"/>
    <xf numFmtId="0" fontId="7" fillId="0" borderId="0" xfId="0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4" fontId="5" fillId="0" borderId="1" xfId="0" applyNumberFormat="1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4" xfId="3" xr:uid="{ADF84526-653E-471A-A6B4-83AE0156FE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76996</xdr:colOff>
      <xdr:row>1</xdr:row>
      <xdr:rowOff>19049</xdr:rowOff>
    </xdr:from>
    <xdr:to>
      <xdr:col>2</xdr:col>
      <xdr:colOff>221264</xdr:colOff>
      <xdr:row>3</xdr:row>
      <xdr:rowOff>27189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75F3B-B174-4D7C-8463-EE627537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121" y="219074"/>
          <a:ext cx="1522218" cy="41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C:/C:/C:/C:/C:/C:/C:/C:/Users/analauraanguiano/Library/Containers/com.apple.mail/Data/Library/Mail%20Downloads/65D4CDCD-4166-4C0E-982A-8CE91E61EE14/c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C:/C:/C:/C:/C:/C:/C:/C:/Volumes/CZECH%20DISK/REFinInv/Ex20_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C:/C:/C:/C:/C:/C:/C:/C:/Volumes/CZECH%20DISK/REFinInv/Finance/10th%20edition/Chapters/Chapter%2019%20templates/IO-P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Teregomez/c/Marcos/Corridas%20financieras/Corridas%20Finales/CorrHuehuetoc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F/PROFORMAS/AUDITORIA/Alfredo/Integral/San%20Buena%20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C:/C:/C:/C:/C:/C:/C:/C:/C:/Users/barbaramartinez/Google%20Drive/Proyectos%20Activos/Garcia/FInanciero/14.08.20%20Paseo%20Garcia%20Lote%2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Users/lealabe/Documents/Microsoft%20User%20Data/Office%202011%20AutoRecovery/DEACERO/Reja/Cotizadores/COTIZADOR%20RDA%20-%201%20SEP%202015%20-%20FORMATO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F/PROFORMAS/AUDITORIA/Genaro/AVANCES/GMartinez%2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F/PROFORMAS/AUDITORIA/POR%20EJECUTAR/A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F/PROFORMAS/AUDITORIA/AVANCES/Dic%2001/ATorr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DIANA/La%20Capital/Users/PMP/AppData/Local/Microsoft/Windows/Temporary%20Internet%20Files/Content.Outlook/MV3CG1AA/Armando/normatividad/Mientras/Mario/Prepa%20Valle%20Alt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WINDOWS/TEMP/Carpinteria%20concurso/PROA%20COLIMA%20revisad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C:/C:/C:/C:/C:/C:/C:/C:/M:/Users/User/Documents/EXCEL/MIRA/FASE%20II/PRESUPUESTOS%20PB%20FASE2/PB-GEN-NS2-ABTH_03oct14Rev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HTIJERINA/Documentos%20c/Statu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F/AV%20INTEGRAL/2004/unos%20apoyo/Bx00UNOS%20CALER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ALFREDO/Mis%20documentos/Documents%20and%20Settings/Juan/Mis%20documentos/control%20Nov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C:/C:/C:/C:/C:/C:/C:/C:/C:/Servidordatos/servidor/Consultor&#237;a/Grupo%20Inmobiliario%20Monterrey/Frida%20Khalo/Costo%20Frida%20Khalo%20parametrico%201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DIANA/La%20Capital/Users/PMP/AppData/Local/Microsoft/Windows/Temporary%20Internet%20Files/Content.Outlook/MV3CG1AA/HTIJERINA/Documentos%20c/Statu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Listas"/>
      <sheetName val="Definicion de Producto"/>
      <sheetName val="Soft Cost"/>
      <sheetName val="Costo Constr "/>
      <sheetName val="Costo Constr generador"/>
      <sheetName val="Incrementos"/>
      <sheetName val="Hoja1"/>
    </sheetNames>
    <sheetDataSet>
      <sheetData sheetId="0">
        <row r="171">
          <cell r="D171">
            <v>0</v>
          </cell>
          <cell r="E171">
            <v>0.19104004814636055</v>
          </cell>
        </row>
        <row r="172">
          <cell r="D172">
            <v>0.05</v>
          </cell>
          <cell r="E172">
            <v>0.17331256212247201</v>
          </cell>
        </row>
        <row r="173">
          <cell r="D173">
            <v>0.1</v>
          </cell>
          <cell r="E173">
            <v>0.16098670463276857</v>
          </cell>
        </row>
        <row r="174">
          <cell r="D174">
            <v>0.15000000000000002</v>
          </cell>
          <cell r="E174">
            <v>0.15532835618367249</v>
          </cell>
        </row>
        <row r="175">
          <cell r="D175">
            <v>0.2</v>
          </cell>
          <cell r="E175">
            <v>0.14993493952328116</v>
          </cell>
        </row>
        <row r="176">
          <cell r="D176">
            <v>0.25</v>
          </cell>
          <cell r="E176">
            <v>0.14737549187106463</v>
          </cell>
        </row>
        <row r="177">
          <cell r="D177">
            <v>0.3</v>
          </cell>
          <cell r="E177">
            <v>0.14738328611616652</v>
          </cell>
        </row>
      </sheetData>
      <sheetData sheetId="1" refreshError="1"/>
      <sheetData sheetId="2">
        <row r="171">
          <cell r="D171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REIF &amp; S&amp;P"/>
      <sheetName val="REITs &amp; S&amp;P"/>
      <sheetName val="Definicion de Producto"/>
      <sheetName val="Soft Cost"/>
      <sheetName val="Costo Constr "/>
      <sheetName val="Costo Constr generador"/>
      <sheetName val="Incrementos"/>
      <sheetName val="Hoja1"/>
    </sheetNames>
    <sheetDataSet>
      <sheetData sheetId="0">
        <row r="11">
          <cell r="D11">
            <v>0.10256580965724643</v>
          </cell>
        </row>
      </sheetData>
      <sheetData sheetId="1">
        <row r="11">
          <cell r="D11">
            <v>0.10256580965724643</v>
          </cell>
          <cell r="F11">
            <v>3.9374304347826112</v>
          </cell>
        </row>
        <row r="12">
          <cell r="D12">
            <v>9.9699466842594398E-2</v>
          </cell>
          <cell r="F12">
            <v>3.9434344565217412</v>
          </cell>
        </row>
        <row r="13">
          <cell r="D13">
            <v>9.6926697633896594E-2</v>
          </cell>
          <cell r="F13">
            <v>3.949438478260872</v>
          </cell>
        </row>
        <row r="14">
          <cell r="D14">
            <v>9.4255760498720725E-2</v>
          </cell>
          <cell r="F14">
            <v>3.955442500000002</v>
          </cell>
        </row>
        <row r="15">
          <cell r="D15">
            <v>9.1695554459503378E-2</v>
          </cell>
          <cell r="F15">
            <v>3.9614465217391328</v>
          </cell>
        </row>
        <row r="16">
          <cell r="D16">
            <v>8.9255608650344487E-2</v>
          </cell>
          <cell r="F16">
            <v>3.9674505434782628</v>
          </cell>
        </row>
        <row r="17">
          <cell r="D17">
            <v>8.6946048161577236E-2</v>
          </cell>
          <cell r="F17">
            <v>3.9734545652173923</v>
          </cell>
        </row>
        <row r="18">
          <cell r="D18">
            <v>8.4777529769104062E-2</v>
          </cell>
          <cell r="F18">
            <v>3.9794585869565231</v>
          </cell>
        </row>
        <row r="19">
          <cell r="D19">
            <v>8.2761141026761451E-2</v>
          </cell>
          <cell r="F19">
            <v>3.9854626086956535</v>
          </cell>
        </row>
        <row r="20">
          <cell r="D20">
            <v>8.0908256821018112E-2</v>
          </cell>
          <cell r="F20">
            <v>3.9914666304347839</v>
          </cell>
        </row>
        <row r="21">
          <cell r="D21">
            <v>7.9230349153871005E-2</v>
          </cell>
          <cell r="F21">
            <v>3.9974706521739138</v>
          </cell>
        </row>
        <row r="22">
          <cell r="D22">
            <v>7.7738748894852619E-2</v>
          </cell>
          <cell r="F22">
            <v>4.0034746739130451</v>
          </cell>
        </row>
        <row r="23">
          <cell r="D23">
            <v>7.6444362642995103E-2</v>
          </cell>
          <cell r="F23">
            <v>4.0094786956521746</v>
          </cell>
        </row>
        <row r="24">
          <cell r="D24">
            <v>7.5357353506573591E-2</v>
          </cell>
          <cell r="F24">
            <v>4.015482717391305</v>
          </cell>
        </row>
        <row r="25">
          <cell r="D25">
            <v>7.4486800995879857E-2</v>
          </cell>
          <cell r="F25">
            <v>4.0214867391304354</v>
          </cell>
        </row>
        <row r="26">
          <cell r="D26">
            <v>7.3840361355759068E-2</v>
          </cell>
          <cell r="F26">
            <v>4.0274907608695658</v>
          </cell>
        </row>
        <row r="27">
          <cell r="D27">
            <v>7.3423954232678723E-2</v>
          </cell>
          <cell r="F27">
            <v>4.0334947826086962</v>
          </cell>
        </row>
        <row r="28">
          <cell r="D28">
            <v>7.3241503211226341E-2</v>
          </cell>
          <cell r="F28">
            <v>4.0394988043478257</v>
          </cell>
        </row>
        <row r="29">
          <cell r="D29">
            <v>7.329475545754835E-2</v>
          </cell>
          <cell r="F29">
            <v>4.045502826086957</v>
          </cell>
        </row>
        <row r="30">
          <cell r="D30">
            <v>7.358319923724238E-2</v>
          </cell>
          <cell r="F30">
            <v>4.0515068478260865</v>
          </cell>
        </row>
        <row r="31">
          <cell r="D31">
            <v>7.4104088212849348E-2</v>
          </cell>
          <cell r="F31">
            <v>4.0575108695652169</v>
          </cell>
        </row>
      </sheetData>
      <sheetData sheetId="2"/>
      <sheetData sheetId="3">
        <row r="11">
          <cell r="D11">
            <v>0.10256580965724643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135">
          <cell r="E135">
            <v>5.3792676242975117E-2</v>
          </cell>
        </row>
        <row r="136">
          <cell r="E136">
            <v>6.5681770075035173E-2</v>
          </cell>
        </row>
        <row r="137">
          <cell r="E137">
            <v>7.9037589924664753E-2</v>
          </cell>
        </row>
        <row r="138">
          <cell r="E138">
            <v>9.3672789192370182E-2</v>
          </cell>
        </row>
        <row r="139">
          <cell r="E139">
            <v>0.10935888548657445</v>
          </cell>
        </row>
        <row r="140">
          <cell r="E140">
            <v>0.12586561470778773</v>
          </cell>
        </row>
        <row r="141">
          <cell r="E141">
            <v>0.14298917762938032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jo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orma A"/>
      <sheetName val="Avance Dic 01"/>
      <sheetName val="Costo x ejercer"/>
      <sheetName val="Eq. Urban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"/>
      <sheetName val="Definición producto"/>
      <sheetName val="Rent Roll"/>
      <sheetName val="Costo Constr"/>
      <sheetName val="Proforma"/>
      <sheetName val="Flujo mensual"/>
      <sheetName val="Flujo anual "/>
    </sheetNames>
    <sheetDataSet>
      <sheetData sheetId="0">
        <row r="4">
          <cell r="I4">
            <v>17050</v>
          </cell>
        </row>
      </sheetData>
      <sheetData sheetId="1">
        <row r="4">
          <cell r="I4">
            <v>17050</v>
          </cell>
        </row>
      </sheetData>
      <sheetData sheetId="2" refreshError="1">
        <row r="4">
          <cell r="I4">
            <v>17050</v>
          </cell>
        </row>
        <row r="14">
          <cell r="C14">
            <v>17050</v>
          </cell>
        </row>
      </sheetData>
      <sheetData sheetId="3" refreshError="1"/>
      <sheetData sheetId="4">
        <row r="27">
          <cell r="C27">
            <v>17050</v>
          </cell>
        </row>
      </sheetData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TIZACION"/>
      <sheetName val="ML"/>
      <sheetName val="LOTE"/>
      <sheetName val="LISTAS"/>
      <sheetName val="MANUAL I"/>
      <sheetName val="Manual"/>
    </sheetNames>
    <sheetDataSet>
      <sheetData sheetId="0"/>
      <sheetData sheetId="1"/>
      <sheetData sheetId="2"/>
      <sheetData sheetId="3" refreshError="1">
        <row r="33">
          <cell r="B33" t="str">
            <v>REJA</v>
          </cell>
          <cell r="C33" t="str">
            <v>PUA</v>
          </cell>
        </row>
        <row r="34">
          <cell r="B34" t="str">
            <v>POSTE</v>
          </cell>
          <cell r="C34" t="str">
            <v>ARRANQUE PUA</v>
          </cell>
        </row>
        <row r="35">
          <cell r="B35" t="str">
            <v>KIT POSTE</v>
          </cell>
          <cell r="C35" t="str">
            <v>PANEL</v>
          </cell>
        </row>
        <row r="36">
          <cell r="B36" t="str">
            <v>KIT ESQUINERO</v>
          </cell>
          <cell r="C36" t="str">
            <v>METALICA</v>
          </cell>
        </row>
        <row r="37">
          <cell r="B37" t="str">
            <v>ABRAZADERA</v>
          </cell>
          <cell r="C37" t="str">
            <v>ABA</v>
          </cell>
        </row>
        <row r="38">
          <cell r="B38" t="str">
            <v>PUERTA</v>
          </cell>
          <cell r="C38" t="str">
            <v>DES</v>
          </cell>
        </row>
        <row r="39">
          <cell r="B39" t="str">
            <v>PORTON</v>
          </cell>
          <cell r="C39">
            <v>868</v>
          </cell>
        </row>
        <row r="40">
          <cell r="B40" t="str">
            <v>BASE</v>
          </cell>
          <cell r="C40">
            <v>656</v>
          </cell>
        </row>
        <row r="41">
          <cell r="B41" t="str">
            <v>GRAPA</v>
          </cell>
          <cell r="C41" t="str">
            <v>RECTA</v>
          </cell>
        </row>
        <row r="42">
          <cell r="B42" t="str">
            <v>POSTE BAYONETA</v>
          </cell>
          <cell r="C42" t="str">
            <v>OVAL</v>
          </cell>
        </row>
        <row r="43">
          <cell r="B43" t="str">
            <v>BAYONETA</v>
          </cell>
          <cell r="C43" t="str">
            <v>PLIEGUE</v>
          </cell>
        </row>
        <row r="44">
          <cell r="B44" t="str">
            <v>PIJA</v>
          </cell>
          <cell r="C44" t="str">
            <v>ABA-REF</v>
          </cell>
        </row>
        <row r="45">
          <cell r="B45" t="str">
            <v>VALLA</v>
          </cell>
          <cell r="C45" t="str">
            <v>ABA-EST</v>
          </cell>
        </row>
        <row r="46">
          <cell r="B46" t="str">
            <v>TAPA</v>
          </cell>
          <cell r="C46" t="str">
            <v>3"x3"</v>
          </cell>
        </row>
        <row r="47">
          <cell r="B47" t="str">
            <v>TAPON GANCHO</v>
          </cell>
          <cell r="C47" t="str">
            <v>BCO</v>
          </cell>
        </row>
        <row r="48">
          <cell r="B48" t="str">
            <v>PINTURA VERDE</v>
          </cell>
          <cell r="C48" t="str">
            <v>PUERTA</v>
          </cell>
        </row>
        <row r="49">
          <cell r="B49" t="str">
            <v>PINTURA BLANCO</v>
          </cell>
          <cell r="C49" t="str">
            <v>PORTON</v>
          </cell>
        </row>
        <row r="50">
          <cell r="B50" t="str">
            <v>PINTURA NEGRO</v>
          </cell>
          <cell r="C50" t="str">
            <v>EPOXICO</v>
          </cell>
        </row>
        <row r="51">
          <cell r="B51" t="str">
            <v>PINTURA AMARILLO</v>
          </cell>
        </row>
        <row r="52">
          <cell r="B52" t="str">
            <v>PINTURA AZUL</v>
          </cell>
        </row>
        <row r="53">
          <cell r="B53" t="str">
            <v>PINTURA ROJO</v>
          </cell>
        </row>
        <row r="54">
          <cell r="B54" t="str">
            <v>PINTURA GRIS</v>
          </cell>
        </row>
        <row r="55">
          <cell r="B55" t="str">
            <v>PINTURA CAFE</v>
          </cell>
        </row>
        <row r="56">
          <cell r="B56" t="str">
            <v>KIT MULTIANGULO</v>
          </cell>
        </row>
        <row r="57">
          <cell r="B57" t="str">
            <v>CONCERTINA</v>
          </cell>
          <cell r="C57" t="str">
            <v>REF</v>
          </cell>
        </row>
        <row r="58">
          <cell r="B58" t="str">
            <v>PUA</v>
          </cell>
          <cell r="C58" t="str">
            <v>SEG</v>
          </cell>
        </row>
        <row r="59">
          <cell r="B59" t="str">
            <v>INSTALACION</v>
          </cell>
          <cell r="C59" t="str">
            <v>EST</v>
          </cell>
        </row>
        <row r="60">
          <cell r="C60" t="str">
            <v>FORTE</v>
          </cell>
        </row>
        <row r="61">
          <cell r="B61" t="str">
            <v>SI</v>
          </cell>
          <cell r="C61" t="str">
            <v>CONTEMPORANEA</v>
          </cell>
        </row>
        <row r="62">
          <cell r="B62" t="str">
            <v>NO</v>
          </cell>
          <cell r="C62" t="str">
            <v>MILAN</v>
          </cell>
        </row>
        <row r="63">
          <cell r="C63" t="str">
            <v>FLORENCIA</v>
          </cell>
        </row>
        <row r="64">
          <cell r="C64" t="str">
            <v>MARINA</v>
          </cell>
        </row>
        <row r="65">
          <cell r="C65" t="str">
            <v>CAL 12</v>
          </cell>
        </row>
        <row r="66">
          <cell r="B66" t="str">
            <v>SI</v>
          </cell>
          <cell r="C66" t="str">
            <v>3/8"</v>
          </cell>
        </row>
        <row r="67">
          <cell r="B67" t="str">
            <v>NO</v>
          </cell>
          <cell r="C67" t="str">
            <v>PDV</v>
          </cell>
        </row>
      </sheetData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IMPO"/>
      <sheetName val="Los Sauces II"/>
      <sheetName val="Los Sauces III"/>
      <sheetName val="Los Sauces IV"/>
      <sheetName val="SJORGE"/>
      <sheetName val="Campestre"/>
      <sheetName val="P del Valle II"/>
      <sheetName val="C CAMPO REAL 1"/>
      <sheetName val="C CAMPO REAL II"/>
      <sheetName val="CONJ URB CAMPO REAL "/>
      <sheetName val="Sta Monica"/>
      <sheetName val="El Campanario"/>
      <sheetName val="El Refugio"/>
      <sheetName val="L Virreyes"/>
      <sheetName val="P del Alba"/>
      <sheetName val="V Playa Diamante"/>
      <sheetName val="SanMiguel"/>
      <sheetName val="Cofradia I"/>
      <sheetName val="Cofradia II"/>
      <sheetName val="Jard San Miguel"/>
      <sheetName val="Jard San Miguel (2)"/>
      <sheetName val="Rinconada del Bosque ( León 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n Buena I"/>
      <sheetName val="San Buena II"/>
      <sheetName val="San Buena IV"/>
      <sheetName val="San Buena V"/>
      <sheetName val="San Buena VI"/>
      <sheetName val="4 Vientos"/>
      <sheetName val="C U 4 Vientos"/>
      <sheetName val="4 Vientos II"/>
      <sheetName val="Herrerías"/>
      <sheetName val="Hda. Caribe"/>
      <sheetName val="Hoja1"/>
      <sheetName val="Hoja2"/>
      <sheetName val="Hoja3"/>
      <sheetName val="San Buena II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BuenaI"/>
      <sheetName val="San Buena II"/>
      <sheetName val="San Buena III"/>
      <sheetName val="San Buena IV"/>
      <sheetName val="San Buena V"/>
      <sheetName val="San Buena VI"/>
      <sheetName val="4 Vientos"/>
      <sheetName val="C U 4 Vientos"/>
      <sheetName val="4 Vientos II"/>
      <sheetName val="V Atlixco SA20"/>
      <sheetName val="P del Angel"/>
      <sheetName val="V del Angel"/>
      <sheetName val="Real de Zavaleta"/>
      <sheetName val="Real de Sta. Clara"/>
      <sheetName val="Herrerías"/>
      <sheetName val="Hda. Caribe"/>
      <sheetName val="Porto Alegre"/>
      <sheetName val="Porto Bello"/>
      <sheetName val="SnVicenteChic"/>
      <sheetName val="StMoritz"/>
      <sheetName val="StMitchel"/>
      <sheetName val="El Rosari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ctual"/>
      <sheetName val="CONTROL PRESUPUESTAL"/>
      <sheetName val="Indice"/>
      <sheetName val="Presupuesto Base"/>
      <sheetName val="Proyectados "/>
      <sheetName val="Programa de Erogaciones "/>
      <sheetName val="Proyectados Comercial"/>
      <sheetName val="CP Comercial "/>
      <sheetName val="CC Comercial"/>
      <sheetName val="Erogaciones Comercial"/>
      <sheetName val="Contratos Comercial"/>
      <sheetName val="OC Comercial"/>
      <sheetName val="Proyectados Residencial"/>
      <sheetName val="CP Residencial"/>
      <sheetName val="CC Residencial"/>
      <sheetName val="Erogaciones Residencial"/>
      <sheetName val="Contratos Residencial"/>
      <sheetName val="OC Residencial"/>
      <sheetName val="Grafica de Egresos Mensuales "/>
      <sheetName val="Grafica de Egresos Acumulados "/>
      <sheetName val="Grafica Avance Fisico"/>
      <sheetName val="Avance de Construccion"/>
      <sheetName val="OC de presupuesto"/>
      <sheetName val="showroom"/>
      <sheetName val="Control de cambios a presupuest"/>
      <sheetName val="autorización ago-nov 2011"/>
      <sheetName val="formato autorizacion HISTORICO"/>
      <sheetName val="autorizacion de aditivas"/>
      <sheetName val="adelantos historicos hasta 2011"/>
      <sheetName val="Minuta XX"/>
    </sheetNames>
    <sheetDataSet>
      <sheetData sheetId="0" refreshError="1">
        <row r="594">
          <cell r="AB594" t="str">
            <v>final sop</v>
          </cell>
        </row>
      </sheetData>
      <sheetData sheetId="1">
        <row r="594">
          <cell r="AB594" t="str">
            <v>final sop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TIZACION"/>
      <sheetName val="Tabla"/>
      <sheetName val="Descuentos"/>
    </sheetNames>
    <sheetDataSet>
      <sheetData sheetId="0" refreshError="1"/>
      <sheetData sheetId="1" refreshError="1">
        <row r="1">
          <cell r="A1" t="str">
            <v>Num</v>
          </cell>
          <cell r="B1" t="str">
            <v>Serie</v>
          </cell>
          <cell r="C1" t="str">
            <v>Descripcion</v>
          </cell>
          <cell r="D1" t="str">
            <v>Dim</v>
          </cell>
          <cell r="E1" t="str">
            <v>Modelo</v>
          </cell>
          <cell r="F1" t="str">
            <v>Marca</v>
          </cell>
          <cell r="G1" t="str">
            <v>Acabado</v>
          </cell>
          <cell r="H1" t="str">
            <v>Tipo</v>
          </cell>
          <cell r="I1" t="str">
            <v>P Lista Dólares</v>
          </cell>
          <cell r="J1" t="str">
            <v>Margen 20%</v>
          </cell>
          <cell r="K1" t="str">
            <v>P. Venta Dólares</v>
          </cell>
          <cell r="L1" t="str">
            <v>Flete Amer.</v>
          </cell>
          <cell r="M1" t="str">
            <v>G.I.</v>
          </cell>
          <cell r="N1" t="str">
            <v>Flete  Mex.</v>
          </cell>
          <cell r="O1" t="str">
            <v>COSTO</v>
          </cell>
          <cell r="P1" t="str">
            <v># Inv</v>
          </cell>
        </row>
        <row r="2">
          <cell r="A2">
            <v>-1</v>
          </cell>
          <cell r="B2">
            <v>0</v>
          </cell>
          <cell r="C2" t="str">
            <v>Ptas #'s</v>
          </cell>
          <cell r="P2">
            <v>-1</v>
          </cell>
        </row>
        <row r="3">
          <cell r="C3" t="str">
            <v>PUERTAS PREMDOR</v>
          </cell>
        </row>
        <row r="4">
          <cell r="A4">
            <v>1</v>
          </cell>
          <cell r="B4">
            <v>1</v>
          </cell>
          <cell r="C4" t="str">
            <v xml:space="preserve">Puerta de Madera  Modelo Birch Clear, Solida y de 1-3/8" de espesor medidas: </v>
          </cell>
          <cell r="D4" t="str">
            <v>3'0" x 7'0"</v>
          </cell>
          <cell r="E4" t="str">
            <v>PBC3070S-1-3/8</v>
          </cell>
          <cell r="F4" t="e">
            <v>#N/A</v>
          </cell>
          <cell r="G4" t="str">
            <v>Prefinish</v>
          </cell>
          <cell r="H4" t="e">
            <v>#N/A</v>
          </cell>
          <cell r="I4">
            <v>57</v>
          </cell>
          <cell r="J4">
            <v>1.25</v>
          </cell>
          <cell r="K4">
            <v>71.25</v>
          </cell>
          <cell r="L4" t="e">
            <v>#N/A</v>
          </cell>
          <cell r="M4" t="e">
            <v>#N/A</v>
          </cell>
          <cell r="N4" t="e">
            <v>#N/A</v>
          </cell>
          <cell r="O4" t="e">
            <v>#N/A</v>
          </cell>
          <cell r="P4" t="str">
            <v>013-01</v>
          </cell>
        </row>
        <row r="5">
          <cell r="A5">
            <v>2</v>
          </cell>
          <cell r="B5">
            <v>1</v>
          </cell>
          <cell r="C5" t="e">
            <v>#N/A</v>
          </cell>
          <cell r="D5" t="str">
            <v>3'0" x 7'0"</v>
          </cell>
          <cell r="E5" t="str">
            <v>PBM3070S-1-3/8</v>
          </cell>
          <cell r="F5" t="e">
            <v>#N/A</v>
          </cell>
          <cell r="G5" t="str">
            <v>Prefinish</v>
          </cell>
          <cell r="H5" t="e">
            <v>#N/A</v>
          </cell>
          <cell r="I5">
            <v>57</v>
          </cell>
          <cell r="J5">
            <v>1.25</v>
          </cell>
          <cell r="K5">
            <v>71.25</v>
          </cell>
          <cell r="L5" t="e">
            <v>#N/A</v>
          </cell>
          <cell r="M5" t="e">
            <v>#N/A</v>
          </cell>
          <cell r="N5" t="e">
            <v>#N/A</v>
          </cell>
          <cell r="O5" t="e">
            <v>#N/A</v>
          </cell>
          <cell r="P5" t="str">
            <v>013-01</v>
          </cell>
        </row>
        <row r="6">
          <cell r="A6">
            <v>3</v>
          </cell>
          <cell r="B6">
            <v>1</v>
          </cell>
          <cell r="C6" t="e">
            <v>#N/A</v>
          </cell>
          <cell r="D6" t="str">
            <v>3'0" x 7'0"</v>
          </cell>
          <cell r="E6" t="str">
            <v>PBN3070S-1-3/8</v>
          </cell>
          <cell r="F6" t="e">
            <v>#N/A</v>
          </cell>
          <cell r="G6" t="str">
            <v>S-mue</v>
          </cell>
          <cell r="H6" t="e">
            <v>#N/A</v>
          </cell>
          <cell r="I6">
            <v>69</v>
          </cell>
          <cell r="J6">
            <v>1.25</v>
          </cell>
          <cell r="K6">
            <v>86.25</v>
          </cell>
          <cell r="L6" t="e">
            <v>#N/A</v>
          </cell>
          <cell r="M6" t="e">
            <v>#N/A</v>
          </cell>
          <cell r="N6" t="e">
            <v>#N/A</v>
          </cell>
          <cell r="O6" t="e">
            <v>#N/A</v>
          </cell>
          <cell r="P6" t="str">
            <v>013-01</v>
          </cell>
        </row>
        <row r="7">
          <cell r="A7">
            <v>4</v>
          </cell>
          <cell r="B7">
            <v>1</v>
          </cell>
          <cell r="C7" t="e">
            <v>#N/A</v>
          </cell>
          <cell r="D7" t="str">
            <v>3'0" x 7'0"</v>
          </cell>
          <cell r="E7" t="str">
            <v>PHBD3070S-1-3/8</v>
          </cell>
          <cell r="F7" t="e">
            <v>#N/A</v>
          </cell>
          <cell r="G7" t="str">
            <v>Blanca</v>
          </cell>
          <cell r="H7" t="e">
            <v>#N/A</v>
          </cell>
          <cell r="I7">
            <v>51.5</v>
          </cell>
          <cell r="J7">
            <v>1.25</v>
          </cell>
          <cell r="K7">
            <v>64.375</v>
          </cell>
          <cell r="L7" t="e">
            <v>#N/A</v>
          </cell>
          <cell r="M7" t="e">
            <v>#N/A</v>
          </cell>
          <cell r="N7" t="e">
            <v>#N/A</v>
          </cell>
          <cell r="O7" t="e">
            <v>#N/A</v>
          </cell>
          <cell r="P7" t="str">
            <v>013-01</v>
          </cell>
        </row>
        <row r="8">
          <cell r="A8">
            <v>5</v>
          </cell>
          <cell r="B8">
            <v>1</v>
          </cell>
          <cell r="C8" t="str">
            <v xml:space="preserve">Puerta de Madera  Modelo Prestige White, Solida y de 1-3/8" de espesor medidas: </v>
          </cell>
          <cell r="D8" t="str">
            <v>3'0" x 7'0"</v>
          </cell>
          <cell r="E8" t="str">
            <v>PPW3070S-1-3/8</v>
          </cell>
          <cell r="F8" t="e">
            <v>#N/A</v>
          </cell>
          <cell r="G8" t="str">
            <v>Blanca</v>
          </cell>
          <cell r="H8" t="e">
            <v>#N/A</v>
          </cell>
          <cell r="I8">
            <v>53</v>
          </cell>
          <cell r="J8">
            <v>1.25</v>
          </cell>
          <cell r="K8">
            <v>66.25</v>
          </cell>
          <cell r="L8" t="e">
            <v>#N/A</v>
          </cell>
          <cell r="M8" t="e">
            <v>#N/A</v>
          </cell>
          <cell r="N8" t="e">
            <v>#N/A</v>
          </cell>
          <cell r="O8" t="e">
            <v>#N/A</v>
          </cell>
          <cell r="P8" t="str">
            <v>013-01</v>
          </cell>
        </row>
        <row r="10">
          <cell r="A10">
            <v>6</v>
          </cell>
          <cell r="B10">
            <v>1</v>
          </cell>
          <cell r="C10" t="str">
            <v xml:space="preserve">Puerta de Madera  Modelo Birch Clear, Hueca y de 1-3/8" de espesor medidas: </v>
          </cell>
          <cell r="D10" t="str">
            <v>3'0" x 7'0"</v>
          </cell>
          <cell r="E10" t="str">
            <v>PBC3070H-1-3/8</v>
          </cell>
          <cell r="F10" t="e">
            <v>#N/A</v>
          </cell>
          <cell r="G10" t="str">
            <v>Prefinish</v>
          </cell>
          <cell r="H10" t="e">
            <v>#N/A</v>
          </cell>
          <cell r="I10">
            <v>41</v>
          </cell>
          <cell r="J10">
            <v>1.25</v>
          </cell>
          <cell r="K10">
            <v>51.25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str">
            <v>020-001</v>
          </cell>
        </row>
        <row r="11">
          <cell r="A11">
            <v>7</v>
          </cell>
          <cell r="B11">
            <v>1</v>
          </cell>
          <cell r="C11" t="str">
            <v>satinado_x0006__x0000__x0000_Trimco7_x0000__x0000_Silenciadores de Vinil para marco metalico marca Hager _x0005__x0000__x0000_Vinil_x0007__x0000__x0000_703-005B_x0000__x0000_Pasador de seguridad marca  Hager mod. 274D acabado cromo satinadoC_x0000__x0000_Pasador de seguridad marca  Hager mod. 274D acabado Laton Brillante_x0007__x0000__x0000_802-004B_x0000__x0000_Pasador de</v>
          </cell>
          <cell r="D11" t="str">
            <v>3'0" x 7'0"</v>
          </cell>
          <cell r="E11" t="str">
            <v>PBM3070H-1-3/8</v>
          </cell>
          <cell r="F11" t="e">
            <v>#N/A</v>
          </cell>
          <cell r="G11" t="str">
            <v>Prefinish</v>
          </cell>
          <cell r="H11" t="e">
            <v>#N/A</v>
          </cell>
          <cell r="I11">
            <v>41</v>
          </cell>
          <cell r="J11">
            <v>1.25</v>
          </cell>
          <cell r="K11">
            <v>51.25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str">
            <v>020-041</v>
          </cell>
        </row>
        <row r="12">
          <cell r="A12">
            <v>8</v>
          </cell>
          <cell r="B12">
            <v>1</v>
          </cell>
          <cell r="C12" t="e">
            <v>#N/A</v>
          </cell>
          <cell r="D12" t="str">
            <v>3'0" x 7'0"</v>
          </cell>
          <cell r="E12" t="str">
            <v>PBN3070H-1-3/8</v>
          </cell>
          <cell r="F12" t="e">
            <v>#N/A</v>
          </cell>
          <cell r="G12" t="str">
            <v>S-mue</v>
          </cell>
          <cell r="H12" t="e">
            <v>#N/A</v>
          </cell>
          <cell r="I12">
            <v>53</v>
          </cell>
          <cell r="J12">
            <v>1.25</v>
          </cell>
          <cell r="K12">
            <v>66.25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str">
            <v>020-041</v>
          </cell>
        </row>
        <row r="13">
          <cell r="A13">
            <v>9</v>
          </cell>
          <cell r="B13">
            <v>1</v>
          </cell>
          <cell r="C13" t="e">
            <v>#N/A</v>
          </cell>
          <cell r="D13" t="str">
            <v>3'0" x 7'0"</v>
          </cell>
          <cell r="E13" t="str">
            <v>PHBD3070H-1-3/8</v>
          </cell>
          <cell r="F13" t="e">
            <v>#N/A</v>
          </cell>
          <cell r="G13" t="str">
            <v>Blanca</v>
          </cell>
          <cell r="H13" t="e">
            <v>#N/A</v>
          </cell>
          <cell r="I13">
            <v>33</v>
          </cell>
          <cell r="J13">
            <v>1.25</v>
          </cell>
          <cell r="K13">
            <v>41.25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str">
            <v>APU-004</v>
          </cell>
        </row>
        <row r="14">
          <cell r="A14">
            <v>10</v>
          </cell>
          <cell r="B14">
            <v>1</v>
          </cell>
          <cell r="C14" t="e">
            <v>#N/A</v>
          </cell>
          <cell r="D14" t="str">
            <v>3'0" x 7'0"</v>
          </cell>
          <cell r="E14" t="str">
            <v>PPW3070H-1-3/8</v>
          </cell>
          <cell r="F14" t="e">
            <v>#N/A</v>
          </cell>
          <cell r="G14" t="str">
            <v>Blanca</v>
          </cell>
          <cell r="H14" t="e">
            <v>#N/A</v>
          </cell>
          <cell r="I14">
            <v>40</v>
          </cell>
          <cell r="J14">
            <v>1.25</v>
          </cell>
          <cell r="K14">
            <v>50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str">
            <v>APU-004</v>
          </cell>
        </row>
        <row r="15">
          <cell r="A15">
            <v>11</v>
          </cell>
          <cell r="B15">
            <v>1</v>
          </cell>
          <cell r="C15" t="str">
            <v xml:space="preserve">Puerta de Madera  Modelo Birch Clear, Hueca y de 1-3/8" de espesor medidas: </v>
          </cell>
          <cell r="D15" t="str">
            <v>3'0" x 7'0"</v>
          </cell>
          <cell r="E15" t="str">
            <v>PBC3070H-1-3/8</v>
          </cell>
          <cell r="F15" t="e">
            <v>#N/A</v>
          </cell>
          <cell r="G15" t="str">
            <v>Prefinish</v>
          </cell>
          <cell r="H15" t="e">
            <v>#N/A</v>
          </cell>
          <cell r="I15">
            <v>41</v>
          </cell>
          <cell r="J15">
            <v>1.25</v>
          </cell>
          <cell r="K15">
            <v>51.25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str">
            <v>APU-004</v>
          </cell>
        </row>
        <row r="16">
          <cell r="A16">
            <v>12</v>
          </cell>
          <cell r="B16">
            <v>1</v>
          </cell>
          <cell r="C16" t="str">
            <v>satinado_x0006__x0000__x0000_Trimco7_x0000__x0000_Silenciadores de Vinil para marco metalico marca Hager _x0005__x0000__x0000_Vinil_x0007__x0000__x0000_703-005B_x0000__x0000_Pasador de seguridad marca  Hager mod. 274D acabado cromo satinadoC_x0000__x0000_Pasador de seguridad marca  Hager mod. 274D acabado Laton Brillante_x0007__x0000__x0000_802-004B_x0000__x0000_Pasador de</v>
          </cell>
          <cell r="D16" t="str">
            <v>3'0" x 7'0"</v>
          </cell>
          <cell r="E16" t="str">
            <v>PBM3070H-1-3/8</v>
          </cell>
          <cell r="F16" t="e">
            <v>#N/A</v>
          </cell>
          <cell r="G16" t="str">
            <v>Prefinish</v>
          </cell>
          <cell r="H16" t="e">
            <v>#N/A</v>
          </cell>
          <cell r="I16">
            <v>41</v>
          </cell>
          <cell r="J16">
            <v>1.25</v>
          </cell>
          <cell r="K16">
            <v>51.25</v>
          </cell>
          <cell r="L16" t="e">
            <v>#N/A</v>
          </cell>
          <cell r="M16" t="e">
            <v>#N/A</v>
          </cell>
          <cell r="N16" t="e">
            <v>#N/A</v>
          </cell>
          <cell r="O16" t="e">
            <v>#N/A</v>
          </cell>
          <cell r="P16" t="str">
            <v>APU-004</v>
          </cell>
        </row>
        <row r="17">
          <cell r="A17">
            <v>13</v>
          </cell>
          <cell r="B17">
            <v>1</v>
          </cell>
          <cell r="C17" t="e">
            <v>#N/A</v>
          </cell>
          <cell r="D17" t="str">
            <v>3'0" x 7'0"</v>
          </cell>
          <cell r="E17" t="str">
            <v>PBN3070H-1-3/8</v>
          </cell>
          <cell r="F17" t="e">
            <v>#N/A</v>
          </cell>
          <cell r="G17" t="str">
            <v>S-mue</v>
          </cell>
          <cell r="H17" t="e">
            <v>#N/A</v>
          </cell>
          <cell r="I17">
            <v>53</v>
          </cell>
          <cell r="J17">
            <v>1.25</v>
          </cell>
          <cell r="K17">
            <v>66.25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str">
            <v>APU-004</v>
          </cell>
        </row>
        <row r="18">
          <cell r="A18">
            <v>14</v>
          </cell>
          <cell r="B18">
            <v>1</v>
          </cell>
          <cell r="C18" t="e">
            <v>#N/A</v>
          </cell>
          <cell r="D18" t="str">
            <v>3'0" x 7'0"</v>
          </cell>
          <cell r="E18" t="str">
            <v>PHBD3070H-1-3/8</v>
          </cell>
          <cell r="F18" t="e">
            <v>#N/A</v>
          </cell>
          <cell r="G18" t="str">
            <v>Blanca</v>
          </cell>
          <cell r="H18" t="e">
            <v>#N/A</v>
          </cell>
          <cell r="I18">
            <v>33</v>
          </cell>
          <cell r="J18">
            <v>1.25</v>
          </cell>
          <cell r="K18">
            <v>41.25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str">
            <v>APU-004</v>
          </cell>
        </row>
        <row r="19">
          <cell r="A19">
            <v>15</v>
          </cell>
          <cell r="B19">
            <v>1</v>
          </cell>
          <cell r="C19" t="e">
            <v>#N/A</v>
          </cell>
          <cell r="D19" t="str">
            <v>3'0" x 7'0"</v>
          </cell>
          <cell r="E19" t="str">
            <v>PPW3070H-1-3/8</v>
          </cell>
          <cell r="F19" t="e">
            <v>#N/A</v>
          </cell>
          <cell r="G19" t="str">
            <v>Blanca</v>
          </cell>
          <cell r="H19" t="e">
            <v>#N/A</v>
          </cell>
          <cell r="I19">
            <v>40</v>
          </cell>
          <cell r="J19">
            <v>1.25</v>
          </cell>
          <cell r="K19">
            <v>50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str">
            <v>APU-004</v>
          </cell>
        </row>
        <row r="20">
          <cell r="C20" t="str">
            <v>PUERTAS MARSHFIELD</v>
          </cell>
        </row>
        <row r="21">
          <cell r="A21">
            <v>16</v>
          </cell>
          <cell r="B21">
            <v>2</v>
          </cell>
          <cell r="C21" t="str">
            <v xml:space="preserve">Puerta de Madera Solida 7 capas, en Encino Rojo corte plano de 1-3/4" de espesor certificada WH-20 min. prep. Cerradura Electronica,  Medidas: </v>
          </cell>
          <cell r="D21" t="str">
            <v>3'0" x 6'8"</v>
          </cell>
          <cell r="E21" t="e">
            <v>#N/A</v>
          </cell>
          <cell r="F21" t="e">
            <v>#N/A</v>
          </cell>
          <cell r="G21" t="str">
            <v>Prefinish</v>
          </cell>
          <cell r="H21" t="e">
            <v>#N/A</v>
          </cell>
          <cell r="I21">
            <v>103.7</v>
          </cell>
          <cell r="J21">
            <v>1.53</v>
          </cell>
          <cell r="K21">
            <v>158.661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str">
            <v>APU-004</v>
          </cell>
        </row>
        <row r="22">
          <cell r="A22">
            <v>17</v>
          </cell>
          <cell r="B22">
            <v>2</v>
          </cell>
          <cell r="C22" t="e">
            <v>#N/A</v>
          </cell>
          <cell r="D22" t="str">
            <v>3'0" x 6'8"</v>
          </cell>
          <cell r="E22" t="str">
            <v>DSP-20-3068S-RO-PS-CY-L</v>
          </cell>
          <cell r="F22" t="e">
            <v>#N/A</v>
          </cell>
          <cell r="G22" t="str">
            <v>Prefinish</v>
          </cell>
          <cell r="H22" t="e">
            <v>#N/A</v>
          </cell>
          <cell r="I22">
            <v>1</v>
          </cell>
          <cell r="J22">
            <v>1.55</v>
          </cell>
          <cell r="K22">
            <v>1.55</v>
          </cell>
          <cell r="L22" t="str">
            <v>?</v>
          </cell>
          <cell r="M22" t="e">
            <v>#N/A</v>
          </cell>
          <cell r="N22" t="str">
            <v>?</v>
          </cell>
          <cell r="O22" t="e">
            <v>#VALUE!</v>
          </cell>
          <cell r="P22" t="str">
            <v>APU-004</v>
          </cell>
        </row>
        <row r="23">
          <cell r="A23" t="e">
            <v>#N/A</v>
          </cell>
          <cell r="B23">
            <v>2</v>
          </cell>
          <cell r="C23" t="e">
            <v>#N/A</v>
          </cell>
          <cell r="D23" t="str">
            <v>3'0" x 6'8"</v>
          </cell>
          <cell r="E23" t="str">
            <v>DSP-20-3068S-RO-PS-CY-L</v>
          </cell>
          <cell r="F23" t="e">
            <v>#N/A</v>
          </cell>
          <cell r="G23" t="str">
            <v>Prefinish</v>
          </cell>
          <cell r="H23" t="e">
            <v>#N/A</v>
          </cell>
          <cell r="I23">
            <v>103.7</v>
          </cell>
          <cell r="J23">
            <v>1.53</v>
          </cell>
          <cell r="K23">
            <v>158.661</v>
          </cell>
          <cell r="L23" t="str">
            <v>?</v>
          </cell>
          <cell r="M23" t="e">
            <v>#N/A</v>
          </cell>
          <cell r="N23" t="str">
            <v>?</v>
          </cell>
          <cell r="O23" t="e">
            <v>#VALUE!</v>
          </cell>
          <cell r="P23" t="str">
            <v>APU-004</v>
          </cell>
        </row>
        <row r="24">
          <cell r="A24" t="str">
            <v>17B</v>
          </cell>
          <cell r="B24">
            <v>2</v>
          </cell>
          <cell r="C24" t="e">
            <v>#N/A</v>
          </cell>
          <cell r="D24" t="str">
            <v>3'0" x 7'2"</v>
          </cell>
          <cell r="E24" t="str">
            <v>DSP-20-3072S-RO-PS-CY-L</v>
          </cell>
          <cell r="F24" t="e">
            <v>#N/A</v>
          </cell>
          <cell r="G24" t="str">
            <v>Prefinish</v>
          </cell>
          <cell r="H24" t="e">
            <v>#N/A</v>
          </cell>
          <cell r="I24">
            <v>119.255</v>
          </cell>
          <cell r="J24">
            <v>1.53</v>
          </cell>
          <cell r="K24">
            <v>182.46015</v>
          </cell>
          <cell r="L24" t="str">
            <v>?</v>
          </cell>
          <cell r="M24" t="e">
            <v>#N/A</v>
          </cell>
          <cell r="N24" t="str">
            <v>?</v>
          </cell>
          <cell r="O24" t="e">
            <v>#VALUE!</v>
          </cell>
          <cell r="P24" t="str">
            <v>APU-004</v>
          </cell>
        </row>
        <row r="25">
          <cell r="A25" t="str">
            <v>17c</v>
          </cell>
          <cell r="B25">
            <v>2</v>
          </cell>
          <cell r="C25" t="str">
            <v xml:space="preserve">Puerta de Madera Solida 7 capas, en Encino Rojo corte plano de 1-3/4" de espesor certificada WH-90 min. .Prp. Plana,  Medidas: </v>
          </cell>
          <cell r="D25" t="e">
            <v>#N/A</v>
          </cell>
          <cell r="E25" t="e">
            <v>#N/A</v>
          </cell>
          <cell r="F25" t="e">
            <v>#N/A</v>
          </cell>
          <cell r="G25" t="str">
            <v>Prefinish</v>
          </cell>
          <cell r="H25" t="e">
            <v>#N/A</v>
          </cell>
          <cell r="I25">
            <v>122.86499999999999</v>
          </cell>
          <cell r="J25">
            <v>1</v>
          </cell>
          <cell r="K25">
            <v>122.86499999999999</v>
          </cell>
          <cell r="L25" t="str">
            <v>?</v>
          </cell>
          <cell r="M25" t="e">
            <v>#N/A</v>
          </cell>
          <cell r="N25" t="str">
            <v>?</v>
          </cell>
          <cell r="O25" t="e">
            <v>#VALUE!</v>
          </cell>
          <cell r="P25" t="str">
            <v>APU-004</v>
          </cell>
        </row>
        <row r="26">
          <cell r="A26">
            <v>18</v>
          </cell>
          <cell r="B26">
            <v>2</v>
          </cell>
          <cell r="C26" t="e">
            <v>#N/A</v>
          </cell>
          <cell r="D26" t="str">
            <v>3'0" x 6'8"</v>
          </cell>
          <cell r="E26" t="str">
            <v>DSP-3068S-RO-PS-CY-L</v>
          </cell>
          <cell r="F26" t="e">
            <v>#N/A</v>
          </cell>
          <cell r="G26" t="str">
            <v>Prefinish</v>
          </cell>
          <cell r="H26" t="e">
            <v>#N/A</v>
          </cell>
          <cell r="I26">
            <v>143.19999999999999</v>
          </cell>
          <cell r="J26">
            <v>1</v>
          </cell>
          <cell r="K26">
            <v>143.19999999999999</v>
          </cell>
          <cell r="L26" t="str">
            <v>?</v>
          </cell>
          <cell r="M26" t="e">
            <v>#N/A</v>
          </cell>
          <cell r="N26" t="str">
            <v>?</v>
          </cell>
          <cell r="O26" t="e">
            <v>#VALUE!</v>
          </cell>
          <cell r="P26" t="str">
            <v>APU-004</v>
          </cell>
        </row>
        <row r="27">
          <cell r="A27" t="str">
            <v>18a</v>
          </cell>
          <cell r="B27">
            <v>2</v>
          </cell>
          <cell r="C27" t="str">
            <v xml:space="preserve">Puerta de Madera Solida 7 capas, en Encino Rojo corte plano de 1-3/4" de espesor, con entre callse de 9 x 5 cms, prep. Cerradura Cilindrica,  Medidas: </v>
          </cell>
          <cell r="D27" t="str">
            <v>3'0" x 6'8"</v>
          </cell>
          <cell r="E27" t="str">
            <v>DSP-3068S-RO-PS-CY-L</v>
          </cell>
          <cell r="F27" t="e">
            <v>#N/A</v>
          </cell>
          <cell r="G27" t="str">
            <v>Prefinish</v>
          </cell>
          <cell r="H27" t="e">
            <v>#N/A</v>
          </cell>
          <cell r="I27">
            <v>193.32</v>
          </cell>
          <cell r="J27">
            <v>1</v>
          </cell>
          <cell r="K27">
            <v>193.32</v>
          </cell>
          <cell r="L27" t="str">
            <v>?</v>
          </cell>
          <cell r="M27" t="e">
            <v>#N/A</v>
          </cell>
          <cell r="N27" t="str">
            <v>?</v>
          </cell>
          <cell r="O27" t="e">
            <v>#VALUE!</v>
          </cell>
          <cell r="P27" t="str">
            <v>APU-004</v>
          </cell>
        </row>
        <row r="28">
          <cell r="A28">
            <v>19</v>
          </cell>
          <cell r="B28">
            <v>2</v>
          </cell>
          <cell r="C28" t="e">
            <v>#N/A</v>
          </cell>
          <cell r="D28" t="str">
            <v>3'0" x 6'8"</v>
          </cell>
          <cell r="E28" t="e">
            <v>#N/A</v>
          </cell>
          <cell r="F28" t="e">
            <v>#N/A</v>
          </cell>
          <cell r="G28" t="str">
            <v>Prefinish</v>
          </cell>
          <cell r="H28" t="e">
            <v>#N/A</v>
          </cell>
          <cell r="I28">
            <v>1</v>
          </cell>
          <cell r="J28">
            <v>1.55</v>
          </cell>
          <cell r="K28">
            <v>1.55</v>
          </cell>
          <cell r="L28" t="str">
            <v>?</v>
          </cell>
          <cell r="M28" t="e">
            <v>#N/A</v>
          </cell>
          <cell r="N28" t="str">
            <v>?</v>
          </cell>
          <cell r="O28" t="e">
            <v>#VALUE!</v>
          </cell>
          <cell r="P28" t="str">
            <v>APU-004</v>
          </cell>
        </row>
        <row r="29">
          <cell r="A29">
            <v>20</v>
          </cell>
          <cell r="B29">
            <v>2</v>
          </cell>
          <cell r="C29" t="str">
            <v xml:space="preserve">Puerta de Madera Solida 7 capas en  Encino Rojo corte plano de 1-3/4" de espesor certificada WH-60 min. prep. Barra de Panico, Medidas: </v>
          </cell>
          <cell r="D29" t="str">
            <v>3'0" x 6'8"</v>
          </cell>
          <cell r="E29" t="e">
            <v>#N/A</v>
          </cell>
          <cell r="F29" t="e">
            <v>#N/A</v>
          </cell>
          <cell r="G29" t="str">
            <v>Prefinish</v>
          </cell>
          <cell r="H29" t="e">
            <v>#N/A</v>
          </cell>
          <cell r="I29">
            <v>1</v>
          </cell>
          <cell r="J29">
            <v>1.55</v>
          </cell>
          <cell r="K29">
            <v>1.55</v>
          </cell>
          <cell r="L29" t="str">
            <v>?</v>
          </cell>
          <cell r="M29" t="e">
            <v>#N/A</v>
          </cell>
          <cell r="N29" t="str">
            <v>?</v>
          </cell>
          <cell r="O29" t="e">
            <v>#VALUE!</v>
          </cell>
          <cell r="P29" t="str">
            <v>APU-004</v>
          </cell>
        </row>
        <row r="30">
          <cell r="A30">
            <v>21</v>
          </cell>
          <cell r="B30">
            <v>2</v>
          </cell>
          <cell r="C30" t="e">
            <v>#N/A</v>
          </cell>
          <cell r="D30" t="str">
            <v>2'10" x 6'8"</v>
          </cell>
          <cell r="E30" t="str">
            <v>DFM-90-21068S-RO-PS-PB</v>
          </cell>
          <cell r="F30" t="e">
            <v>#N/A</v>
          </cell>
          <cell r="G30" t="str">
            <v>Prefinish</v>
          </cell>
          <cell r="H30" t="e">
            <v>#N/A</v>
          </cell>
          <cell r="I30">
            <v>245.73</v>
          </cell>
          <cell r="J30">
            <v>1</v>
          </cell>
          <cell r="K30">
            <v>245.73</v>
          </cell>
          <cell r="L30" t="str">
            <v>?</v>
          </cell>
          <cell r="M30" t="e">
            <v>#N/A</v>
          </cell>
          <cell r="N30" t="str">
            <v>?</v>
          </cell>
          <cell r="O30" t="e">
            <v>#VALUE!</v>
          </cell>
          <cell r="P30" t="str">
            <v>APU-004</v>
          </cell>
        </row>
        <row r="31">
          <cell r="A31" t="str">
            <v>21-A</v>
          </cell>
          <cell r="B31">
            <v>2</v>
          </cell>
          <cell r="C31" t="e">
            <v>#N/A</v>
          </cell>
          <cell r="D31" t="str">
            <v>3'0" x 6'8"</v>
          </cell>
          <cell r="E31" t="e">
            <v>#N/A</v>
          </cell>
          <cell r="F31" t="e">
            <v>#N/A</v>
          </cell>
          <cell r="G31" t="str">
            <v>Prefinish</v>
          </cell>
          <cell r="H31" t="e">
            <v>#N/A</v>
          </cell>
          <cell r="I31">
            <v>245.73</v>
          </cell>
          <cell r="J31">
            <v>1</v>
          </cell>
          <cell r="K31">
            <v>245.73</v>
          </cell>
          <cell r="L31" t="str">
            <v>?</v>
          </cell>
          <cell r="M31" t="e">
            <v>#N/A</v>
          </cell>
          <cell r="N31" t="str">
            <v>?</v>
          </cell>
          <cell r="O31" t="e">
            <v>#VALUE!</v>
          </cell>
          <cell r="P31" t="str">
            <v>APU-005</v>
          </cell>
        </row>
        <row r="32">
          <cell r="A32" t="str">
            <v>21-B</v>
          </cell>
          <cell r="B32">
            <v>2</v>
          </cell>
          <cell r="C32" t="e">
            <v>#N/A</v>
          </cell>
          <cell r="D32" t="str">
            <v>3'0" x 6'8"</v>
          </cell>
          <cell r="E32" t="str">
            <v>DFM-90-3068S-RO-PS-CYL</v>
          </cell>
          <cell r="F32" t="e">
            <v>#N/A</v>
          </cell>
          <cell r="G32" t="str">
            <v>Prefinish</v>
          </cell>
          <cell r="H32" t="e">
            <v>#N/A</v>
          </cell>
          <cell r="I32">
            <v>245.73</v>
          </cell>
          <cell r="J32">
            <v>1</v>
          </cell>
          <cell r="K32">
            <v>245.73</v>
          </cell>
          <cell r="L32" t="str">
            <v>?</v>
          </cell>
          <cell r="M32" t="e">
            <v>#N/A</v>
          </cell>
          <cell r="N32" t="str">
            <v>?</v>
          </cell>
          <cell r="O32" t="e">
            <v>#VALUE!</v>
          </cell>
          <cell r="P32" t="str">
            <v>APU-005</v>
          </cell>
        </row>
        <row r="33">
          <cell r="A33" t="str">
            <v>21-C</v>
          </cell>
          <cell r="B33">
            <v>2</v>
          </cell>
          <cell r="C33" t="e">
            <v>#N/A</v>
          </cell>
          <cell r="D33" t="str">
            <v>3'8" x 6'8"</v>
          </cell>
          <cell r="E33" t="str">
            <v>DFM-90-3868S-RO-PS-CYL</v>
          </cell>
          <cell r="F33" t="e">
            <v>#N/A</v>
          </cell>
          <cell r="G33" t="str">
            <v>Prefinish</v>
          </cell>
          <cell r="H33" t="e">
            <v>#N/A</v>
          </cell>
          <cell r="I33">
            <v>319.44900000000001</v>
          </cell>
          <cell r="J33">
            <v>1</v>
          </cell>
          <cell r="K33">
            <v>319.44900000000001</v>
          </cell>
          <cell r="L33" t="str">
            <v>?</v>
          </cell>
          <cell r="M33" t="e">
            <v>#N/A</v>
          </cell>
          <cell r="N33" t="str">
            <v>?</v>
          </cell>
          <cell r="O33" t="e">
            <v>#VALUE!</v>
          </cell>
          <cell r="P33" t="str">
            <v>APU-005</v>
          </cell>
        </row>
        <row r="35">
          <cell r="A35">
            <v>22</v>
          </cell>
          <cell r="B35">
            <v>2</v>
          </cell>
          <cell r="C35" t="str">
            <v>Puerta de Madera Hueca 7 capas en Encino Rojo corte Plano de 1-3/8" de espesor, prep. Cerradura Cilindrica, Medidas :</v>
          </cell>
          <cell r="D35" t="str">
            <v>3'0" x 6'8"</v>
          </cell>
          <cell r="E35" t="e">
            <v>#N/A</v>
          </cell>
          <cell r="F35" t="e">
            <v>#N/A</v>
          </cell>
          <cell r="G35" t="str">
            <v>Prefinish</v>
          </cell>
          <cell r="H35" t="e">
            <v>#N/A</v>
          </cell>
          <cell r="I35">
            <v>79.34</v>
          </cell>
          <cell r="J35">
            <v>1</v>
          </cell>
          <cell r="K35">
            <v>79.34</v>
          </cell>
          <cell r="L35" t="str">
            <v>?</v>
          </cell>
          <cell r="M35" t="e">
            <v>#N/A</v>
          </cell>
          <cell r="N35" t="str">
            <v>?</v>
          </cell>
          <cell r="O35" t="e">
            <v>#VALUE!</v>
          </cell>
          <cell r="P35" t="str">
            <v>APU-004</v>
          </cell>
        </row>
        <row r="36">
          <cell r="A36" t="str">
            <v>22a</v>
          </cell>
          <cell r="B36">
            <v>2</v>
          </cell>
          <cell r="C36" t="str">
            <v>Puerta de Madera Hueca 7 capas en Encino Rojo corte Plano de 1-3/8" de espesor, prep. Cerradura Cilindrica, Medidas :</v>
          </cell>
          <cell r="D36" t="str">
            <v>3'0" x 6'8"</v>
          </cell>
          <cell r="E36" t="e">
            <v>#N/A</v>
          </cell>
          <cell r="F36" t="e">
            <v>#N/A</v>
          </cell>
          <cell r="G36" t="str">
            <v>Prefinish</v>
          </cell>
          <cell r="H36" t="e">
            <v>#N/A</v>
          </cell>
          <cell r="I36">
            <v>1</v>
          </cell>
          <cell r="J36">
            <v>1.55</v>
          </cell>
          <cell r="K36">
            <v>1.55</v>
          </cell>
          <cell r="L36" t="str">
            <v>?</v>
          </cell>
          <cell r="M36" t="e">
            <v>#N/A</v>
          </cell>
          <cell r="N36" t="str">
            <v>?</v>
          </cell>
          <cell r="O36" t="e">
            <v>#VALUE!</v>
          </cell>
          <cell r="P36" t="str">
            <v>APU-004</v>
          </cell>
        </row>
        <row r="37">
          <cell r="A37" t="str">
            <v>22B</v>
          </cell>
          <cell r="B37">
            <v>2</v>
          </cell>
          <cell r="C37" t="str">
            <v>Puerta de Madera Hueca 7 capas en Encino Rojo corte Plano de 1-3/8" de espesor, Con entrecalles de 3 1/2" x 2" prep. Cerradura Cilindrica, Medidas :</v>
          </cell>
          <cell r="D37" t="str">
            <v>3'0" x 6'8"</v>
          </cell>
          <cell r="E37" t="e">
            <v>#N/A</v>
          </cell>
          <cell r="F37" t="e">
            <v>#N/A</v>
          </cell>
          <cell r="G37" t="str">
            <v>Prefinish</v>
          </cell>
          <cell r="H37" t="e">
            <v>#N/A</v>
          </cell>
          <cell r="I37">
            <v>1</v>
          </cell>
          <cell r="J37">
            <v>1.55</v>
          </cell>
          <cell r="K37">
            <v>1.55</v>
          </cell>
          <cell r="L37" t="str">
            <v>?</v>
          </cell>
          <cell r="M37" t="e">
            <v>#N/A</v>
          </cell>
          <cell r="N37" t="str">
            <v>?</v>
          </cell>
          <cell r="O37" t="e">
            <v>#VALUE!</v>
          </cell>
          <cell r="P37" t="str">
            <v>APU-004</v>
          </cell>
        </row>
        <row r="38">
          <cell r="A38" t="e">
            <v>#N/A</v>
          </cell>
          <cell r="B38">
            <v>2</v>
          </cell>
          <cell r="C38" t="e">
            <v>#N/A</v>
          </cell>
          <cell r="D38" t="e">
            <v>#N/A</v>
          </cell>
          <cell r="E38" t="e">
            <v>#N/A</v>
          </cell>
          <cell r="F38" t="e">
            <v>#N/A</v>
          </cell>
          <cell r="G38" t="str">
            <v>Prefinish</v>
          </cell>
          <cell r="H38" t="e">
            <v>#N/A</v>
          </cell>
          <cell r="I38">
            <v>1</v>
          </cell>
          <cell r="J38">
            <v>1.55</v>
          </cell>
          <cell r="K38">
            <v>1.55</v>
          </cell>
          <cell r="L38" t="str">
            <v>?</v>
          </cell>
          <cell r="M38" t="e">
            <v>#N/A</v>
          </cell>
          <cell r="N38" t="str">
            <v>?</v>
          </cell>
          <cell r="O38" t="e">
            <v>#VALUE!</v>
          </cell>
          <cell r="P38" t="str">
            <v>APU-004</v>
          </cell>
        </row>
        <row r="39">
          <cell r="A39" t="str">
            <v>22d</v>
          </cell>
          <cell r="B39">
            <v>2</v>
          </cell>
          <cell r="C39" t="str">
            <v>Puerta de Madera Hueca 7 capas en Encino Rojo corte Plano de 1-3/8" de espesor, prep. Cilindro, Medidas :</v>
          </cell>
          <cell r="D39" t="str">
            <v>3'0" x 6'8"</v>
          </cell>
          <cell r="E39" t="e">
            <v>#N/A</v>
          </cell>
          <cell r="F39" t="e">
            <v>#N/A</v>
          </cell>
          <cell r="G39" t="str">
            <v>Prefinish</v>
          </cell>
          <cell r="H39" t="e">
            <v>#N/A</v>
          </cell>
          <cell r="I39">
            <v>1</v>
          </cell>
          <cell r="J39">
            <v>1.55</v>
          </cell>
          <cell r="K39">
            <v>1.55</v>
          </cell>
          <cell r="L39" t="str">
            <v>?</v>
          </cell>
          <cell r="M39" t="e">
            <v>#N/A</v>
          </cell>
          <cell r="N39" t="str">
            <v>?</v>
          </cell>
          <cell r="O39" t="e">
            <v>#VALUE!</v>
          </cell>
          <cell r="P39" t="str">
            <v>APU-004</v>
          </cell>
        </row>
        <row r="40">
          <cell r="A40" t="e">
            <v>#N/A</v>
          </cell>
          <cell r="B40">
            <v>2</v>
          </cell>
          <cell r="C40" t="str">
            <v>Puerta de Madera Hueca 7 capas en Encino Rojo corte Plano de 1-3/8" de espesor, prep. Cerradura Cilindrica, Medidas :</v>
          </cell>
          <cell r="D40" t="str">
            <v>2'6" x 6'8"</v>
          </cell>
          <cell r="E40" t="e">
            <v>#N/A</v>
          </cell>
          <cell r="F40" t="e">
            <v>#N/A</v>
          </cell>
          <cell r="G40" t="str">
            <v>Prefinish</v>
          </cell>
          <cell r="H40" t="e">
            <v>#N/A</v>
          </cell>
          <cell r="I40">
            <v>1</v>
          </cell>
          <cell r="J40">
            <v>1.55</v>
          </cell>
          <cell r="K40">
            <v>1.55</v>
          </cell>
          <cell r="L40" t="str">
            <v>?</v>
          </cell>
          <cell r="M40" t="e">
            <v>#N/A</v>
          </cell>
          <cell r="N40" t="str">
            <v>?</v>
          </cell>
          <cell r="O40" t="e">
            <v>#VALUE!</v>
          </cell>
          <cell r="P40" t="str">
            <v>APU-004</v>
          </cell>
        </row>
        <row r="41">
          <cell r="A41" t="str">
            <v>22F</v>
          </cell>
          <cell r="B41">
            <v>2</v>
          </cell>
          <cell r="C41" t="str">
            <v>Puerta de Madera Hueca 7 capas en Encino Rojo corte Plano de 1-3/8" de espesor, prep. Cerradura Cilindrica, Medidas :</v>
          </cell>
          <cell r="D41" t="str">
            <v>3'0" x 9'10"</v>
          </cell>
          <cell r="E41" t="str">
            <v>7P-HC-30910S-1-3/8-RO-PS-CY-L</v>
          </cell>
          <cell r="F41" t="e">
            <v>#N/A</v>
          </cell>
          <cell r="G41" t="str">
            <v>Prefinish</v>
          </cell>
          <cell r="H41" t="e">
            <v>#N/A</v>
          </cell>
          <cell r="I41">
            <v>126.94400000000002</v>
          </cell>
          <cell r="J41">
            <v>1</v>
          </cell>
          <cell r="K41">
            <v>126.94400000000002</v>
          </cell>
          <cell r="L41" t="str">
            <v>?</v>
          </cell>
          <cell r="M41" t="e">
            <v>#N/A</v>
          </cell>
          <cell r="N41" t="str">
            <v>?</v>
          </cell>
          <cell r="O41" t="e">
            <v>#VALUE!</v>
          </cell>
          <cell r="P41" t="str">
            <v>APU-004</v>
          </cell>
        </row>
        <row r="42">
          <cell r="A42" t="str">
            <v>22G</v>
          </cell>
          <cell r="B42">
            <v>2</v>
          </cell>
          <cell r="C42" t="str">
            <v>Puerta de Madera Hueca 7 capas en Encino Rojo corte Plano de 1-3/8" de espesor, prep. Cerradura Cilindrica, Medidas :</v>
          </cell>
          <cell r="D42" t="str">
            <v>3'8" x 6'8"</v>
          </cell>
          <cell r="E42" t="str">
            <v>7P-HC-3868S-1-3/8-RO-PS-CY-L</v>
          </cell>
          <cell r="F42" t="e">
            <v>#N/A</v>
          </cell>
          <cell r="G42" t="str">
            <v>Prefinish</v>
          </cell>
          <cell r="H42" t="e">
            <v>#N/A</v>
          </cell>
          <cell r="I42">
            <v>103.14200000000001</v>
          </cell>
          <cell r="J42">
            <v>1</v>
          </cell>
          <cell r="K42">
            <v>103.14200000000001</v>
          </cell>
          <cell r="L42" t="str">
            <v>?</v>
          </cell>
          <cell r="M42" t="e">
            <v>#N/A</v>
          </cell>
          <cell r="N42" t="str">
            <v>?</v>
          </cell>
          <cell r="O42" t="e">
            <v>#VALUE!</v>
          </cell>
          <cell r="P42" t="str">
            <v>APU-004</v>
          </cell>
        </row>
        <row r="43">
          <cell r="A43">
            <v>23</v>
          </cell>
          <cell r="B43">
            <v>2</v>
          </cell>
          <cell r="C43" t="e">
            <v>#N/A</v>
          </cell>
          <cell r="D43" t="str">
            <v>3'4" x 6'8"</v>
          </cell>
          <cell r="E43" t="str">
            <v>DFM-90-3468S-RO-PS-CYL</v>
          </cell>
          <cell r="F43" t="e">
            <v>#N/A</v>
          </cell>
          <cell r="G43" t="str">
            <v>Prefinish</v>
          </cell>
          <cell r="H43" t="e">
            <v>#N/A</v>
          </cell>
          <cell r="I43">
            <v>307.16249999999997</v>
          </cell>
          <cell r="J43">
            <v>1</v>
          </cell>
          <cell r="K43">
            <v>307.16249999999997</v>
          </cell>
          <cell r="M43" t="e">
            <v>#N/A</v>
          </cell>
          <cell r="N43" t="str">
            <v>?</v>
          </cell>
          <cell r="O43" t="e">
            <v>#N/A</v>
          </cell>
          <cell r="P43" t="str">
            <v>APU-004</v>
          </cell>
        </row>
        <row r="44">
          <cell r="A44">
            <v>24</v>
          </cell>
          <cell r="B44">
            <v>2</v>
          </cell>
          <cell r="C44" t="str">
            <v>Puerta de Madera Hueca 7 capas en Encino Rojo corte Plano de 1-3/8" de espesor, prep. Cerradura Cilindrica, Medidas :</v>
          </cell>
          <cell r="D44" t="str">
            <v>2'6" x 6'8"</v>
          </cell>
          <cell r="E44" t="str">
            <v>7P-HC-2668-1-3/8-RO-PS-CY-L</v>
          </cell>
          <cell r="F44" t="e">
            <v>#N/A</v>
          </cell>
          <cell r="G44" t="str">
            <v>Prefinish</v>
          </cell>
          <cell r="H44" t="e">
            <v>#N/A</v>
          </cell>
          <cell r="I44">
            <v>79.34</v>
          </cell>
          <cell r="J44">
            <v>1</v>
          </cell>
          <cell r="K44">
            <v>79.34</v>
          </cell>
          <cell r="L44" t="str">
            <v>?</v>
          </cell>
          <cell r="M44" t="e">
            <v>#N/A</v>
          </cell>
          <cell r="N44" t="str">
            <v>?</v>
          </cell>
          <cell r="O44" t="e">
            <v>#VALUE!</v>
          </cell>
          <cell r="P44" t="str">
            <v>APU-004</v>
          </cell>
        </row>
        <row r="45">
          <cell r="A45" t="e">
            <v>#N/A</v>
          </cell>
          <cell r="B45">
            <v>2</v>
          </cell>
          <cell r="C45" t="str">
            <v>Puerta de Madera Hueca 7 capas en Encino Rojo corte Plano de 1-3/8" de espesor, prep. Cerradura Cilindrica, Medidas :</v>
          </cell>
          <cell r="D45" t="str">
            <v>3'0" x 6'8"</v>
          </cell>
          <cell r="E45" t="e">
            <v>#N/A</v>
          </cell>
          <cell r="F45" t="e">
            <v>#N/A</v>
          </cell>
          <cell r="G45" t="str">
            <v>Prefinish</v>
          </cell>
          <cell r="H45" t="e">
            <v>#N/A</v>
          </cell>
          <cell r="I45">
            <v>79.34</v>
          </cell>
          <cell r="J45">
            <v>1</v>
          </cell>
          <cell r="K45">
            <v>79.34</v>
          </cell>
          <cell r="L45" t="str">
            <v>?</v>
          </cell>
          <cell r="M45" t="e">
            <v>#N/A</v>
          </cell>
          <cell r="N45" t="str">
            <v>?</v>
          </cell>
          <cell r="O45" t="e">
            <v>#VALUE!</v>
          </cell>
          <cell r="P45" t="str">
            <v>APU-004</v>
          </cell>
        </row>
        <row r="46">
          <cell r="A46" t="str">
            <v>24B</v>
          </cell>
          <cell r="B46">
            <v>2</v>
          </cell>
          <cell r="C46" t="str">
            <v>Puerta de Madera Hueca 7 capas en Encino Rojo corte Plano de 1-3/8" de espesor, prep. Cerradura Cilindrica, Medidas :</v>
          </cell>
          <cell r="D46" t="str">
            <v>2'2" x 6'8"</v>
          </cell>
          <cell r="E46" t="str">
            <v>7P-HC-2268S-1-3/8-RO-PS-CY-L</v>
          </cell>
          <cell r="F46" t="e">
            <v>#N/A</v>
          </cell>
          <cell r="G46" t="str">
            <v>Prefinish</v>
          </cell>
          <cell r="H46" t="e">
            <v>#N/A</v>
          </cell>
          <cell r="I46">
            <v>79.34</v>
          </cell>
          <cell r="J46">
            <v>1</v>
          </cell>
          <cell r="K46">
            <v>79.34</v>
          </cell>
          <cell r="L46" t="str">
            <v>?</v>
          </cell>
          <cell r="M46" t="e">
            <v>#N/A</v>
          </cell>
          <cell r="N46" t="str">
            <v>?</v>
          </cell>
          <cell r="O46" t="e">
            <v>#VALUE!</v>
          </cell>
          <cell r="P46" t="str">
            <v>APU-004</v>
          </cell>
        </row>
        <row r="47">
          <cell r="A47">
            <v>25</v>
          </cell>
          <cell r="B47">
            <v>2</v>
          </cell>
          <cell r="C47" t="str">
            <v>Puerta de Madera Hueca 7 capas en Encino Rojo corte Plano de 1-3/8" de espesor, prep. Cerradura Cilindrica, Medidas :</v>
          </cell>
          <cell r="D47" t="str">
            <v>2'0" x 6'8"</v>
          </cell>
          <cell r="E47" t="str">
            <v>7P-HC-2068S-1-3/8-RO-PS-CY-L</v>
          </cell>
          <cell r="F47" t="e">
            <v>#N/A</v>
          </cell>
          <cell r="G47" t="str">
            <v>Prefinish</v>
          </cell>
          <cell r="H47" t="e">
            <v>#N/A</v>
          </cell>
          <cell r="I47">
            <v>79.34</v>
          </cell>
          <cell r="J47">
            <v>1</v>
          </cell>
          <cell r="K47">
            <v>79.34</v>
          </cell>
          <cell r="L47" t="str">
            <v>?</v>
          </cell>
          <cell r="M47" t="e">
            <v>#N/A</v>
          </cell>
          <cell r="N47" t="str">
            <v>?</v>
          </cell>
          <cell r="O47" t="e">
            <v>#VALUE!</v>
          </cell>
          <cell r="P47" t="str">
            <v>APU-004</v>
          </cell>
        </row>
        <row r="48">
          <cell r="A48" t="str">
            <v>25A</v>
          </cell>
          <cell r="B48">
            <v>2</v>
          </cell>
          <cell r="C48" t="str">
            <v>Puerta de Madera Hueca 7 capas en Encino Rojo corte Plano de 1-3/8" de espesor, prep. Cerradura Cilindrica, Medidas :</v>
          </cell>
          <cell r="D48" t="str">
            <v>2'6" x 6'8"</v>
          </cell>
          <cell r="E48" t="e">
            <v>#N/A</v>
          </cell>
          <cell r="F48" t="e">
            <v>#N/A</v>
          </cell>
          <cell r="G48" t="str">
            <v>Prefinish</v>
          </cell>
          <cell r="H48" t="e">
            <v>#N/A</v>
          </cell>
          <cell r="I48">
            <v>79.34</v>
          </cell>
          <cell r="J48">
            <v>1</v>
          </cell>
          <cell r="K48">
            <v>79.34</v>
          </cell>
          <cell r="L48" t="str">
            <v>?</v>
          </cell>
          <cell r="M48" t="e">
            <v>#N/A</v>
          </cell>
          <cell r="N48" t="str">
            <v>?</v>
          </cell>
          <cell r="O48" t="e">
            <v>#VALUE!</v>
          </cell>
          <cell r="P48" t="str">
            <v>APU-004</v>
          </cell>
        </row>
        <row r="49">
          <cell r="C49" t="str">
            <v>PUERTAS STEELCRAFT</v>
          </cell>
        </row>
        <row r="50">
          <cell r="A50">
            <v>26</v>
          </cell>
          <cell r="B50">
            <v>3</v>
          </cell>
          <cell r="C50" t="str">
            <v>Puerta Metalica marca Steelcraft calibre 18 de 1-3/4" de espesor Relleno Honeycomb, certificada WH-90 min. Prep. Cerradura Cilindrica, Medidas :</v>
          </cell>
          <cell r="D50" t="str">
            <v>3'0" x 6'8"</v>
          </cell>
          <cell r="E50" t="e">
            <v>#N/A</v>
          </cell>
          <cell r="F50" t="e">
            <v>#N/A</v>
          </cell>
          <cell r="G50" t="e">
            <v>#N/A</v>
          </cell>
          <cell r="H50" t="e">
            <v>#N/A</v>
          </cell>
          <cell r="I50">
            <v>331</v>
          </cell>
          <cell r="J50">
            <v>0.6</v>
          </cell>
          <cell r="K50">
            <v>198.6</v>
          </cell>
          <cell r="L50" t="str">
            <v>?</v>
          </cell>
          <cell r="M50" t="e">
            <v>#N/A</v>
          </cell>
          <cell r="N50" t="e">
            <v>#N/A</v>
          </cell>
          <cell r="O50" t="e">
            <v>#VALUE!</v>
          </cell>
        </row>
        <row r="51">
          <cell r="A51">
            <v>27</v>
          </cell>
          <cell r="B51">
            <v>3</v>
          </cell>
          <cell r="C51" t="str">
            <v>Puerta Metalica marca Steelcraft calibre 18 de 1-3/4" de espesor Relleno Honeycomb, certificada WH-90 min. Prep. Cerradura Cilindrica y Cierrapuertas, Medidas :</v>
          </cell>
          <cell r="D51" t="str">
            <v>3'0" x 6'8"</v>
          </cell>
          <cell r="E51" t="str">
            <v>L18-3068-CR-CY-L</v>
          </cell>
          <cell r="F51" t="e">
            <v>#N/A</v>
          </cell>
          <cell r="G51" t="e">
            <v>#N/A</v>
          </cell>
          <cell r="H51" t="e">
            <v>#N/A</v>
          </cell>
          <cell r="I51">
            <v>347</v>
          </cell>
          <cell r="J51">
            <v>0.6</v>
          </cell>
          <cell r="K51">
            <v>208.2</v>
          </cell>
          <cell r="L51" t="str">
            <v>?</v>
          </cell>
          <cell r="M51" t="e">
            <v>#N/A</v>
          </cell>
          <cell r="N51" t="e">
            <v>#N/A</v>
          </cell>
          <cell r="O51" t="e">
            <v>#VALUE!</v>
          </cell>
        </row>
        <row r="52">
          <cell r="A52">
            <v>28</v>
          </cell>
          <cell r="B52">
            <v>3</v>
          </cell>
          <cell r="C52" t="str">
            <v>Puerta Metalica marca Steelcraft Galvanizada calibre 18 de 1-3/4" de espesor Relleno Honeycomb, certificada WH-90 min. Prep. Cierrapuertas y Barra de Panico, Medidas :</v>
          </cell>
          <cell r="D52" t="str">
            <v>3'0" x 6'8"</v>
          </cell>
          <cell r="E52" t="str">
            <v>L18-3068-CR-PB-GALV</v>
          </cell>
          <cell r="F52" t="e">
            <v>#N/A</v>
          </cell>
          <cell r="G52" t="e">
            <v>#N/A</v>
          </cell>
          <cell r="H52" t="e">
            <v>#N/A</v>
          </cell>
          <cell r="I52">
            <v>414</v>
          </cell>
          <cell r="J52">
            <v>0.46</v>
          </cell>
          <cell r="K52">
            <v>190.44</v>
          </cell>
          <cell r="L52" t="str">
            <v>?</v>
          </cell>
          <cell r="M52" t="e">
            <v>#N/A</v>
          </cell>
          <cell r="N52" t="e">
            <v>#N/A</v>
          </cell>
          <cell r="O52" t="e">
            <v>#VALUE!</v>
          </cell>
        </row>
        <row r="53">
          <cell r="A53">
            <v>29</v>
          </cell>
          <cell r="B53">
            <v>3</v>
          </cell>
          <cell r="C53" t="str">
            <v>Puerta Metalica marca Steelcraft calibre 18 de 1-3/4" de espesor Relleno Honeycomb, certificada WH-90 min. Prep. Lisa y Cierrapuertas, Medidas :</v>
          </cell>
          <cell r="D53" t="str">
            <v>3'0" x 6'8"</v>
          </cell>
          <cell r="E53" t="str">
            <v>L18-3068-CR-FL</v>
          </cell>
          <cell r="F53" t="e">
            <v>#N/A</v>
          </cell>
          <cell r="G53" t="e">
            <v>#N/A</v>
          </cell>
          <cell r="H53" t="e">
            <v>#N/A</v>
          </cell>
          <cell r="I53">
            <v>347</v>
          </cell>
          <cell r="J53">
            <v>0.6</v>
          </cell>
          <cell r="K53">
            <v>208.2</v>
          </cell>
          <cell r="L53" t="e">
            <v>#N/A</v>
          </cell>
          <cell r="M53" t="e">
            <v>#N/A</v>
          </cell>
          <cell r="N53" t="e">
            <v>#N/A</v>
          </cell>
          <cell r="O53" t="e">
            <v>#N/A</v>
          </cell>
          <cell r="P53" t="str">
            <v>APU-004</v>
          </cell>
        </row>
        <row r="54">
          <cell r="A54" t="str">
            <v>29a</v>
          </cell>
          <cell r="B54">
            <v>3</v>
          </cell>
          <cell r="C54" t="str">
            <v>Puerta Metalica marca Steelcraft Galvanizado calibre 18 de 1-3/4" de espesor Relleno Honeycomb, certificada WH-90 min. Prep. Lisa y Cierrapuertas, Medidas :</v>
          </cell>
          <cell r="D54" t="e">
            <v>#N/A</v>
          </cell>
          <cell r="E54" t="str">
            <v>L18-2868-CR-FL-GALV</v>
          </cell>
          <cell r="F54" t="e">
            <v>#N/A</v>
          </cell>
          <cell r="G54" t="e">
            <v>#N/A</v>
          </cell>
          <cell r="H54" t="e">
            <v>#N/A</v>
          </cell>
          <cell r="I54">
            <v>392</v>
          </cell>
          <cell r="J54">
            <v>0.46</v>
          </cell>
          <cell r="K54">
            <v>180.32000000000002</v>
          </cell>
          <cell r="L54" t="e">
            <v>#N/A</v>
          </cell>
          <cell r="M54" t="e">
            <v>#N/A</v>
          </cell>
          <cell r="N54" t="e">
            <v>#N/A</v>
          </cell>
          <cell r="O54" t="e">
            <v>#N/A</v>
          </cell>
          <cell r="P54" t="str">
            <v>APU-004</v>
          </cell>
        </row>
        <row r="55">
          <cell r="A55">
            <v>30</v>
          </cell>
          <cell r="B55">
            <v>3</v>
          </cell>
          <cell r="C55" t="str">
            <v>Puerta Metalica marca Steelcraft calibre 18 de 1-3/4" de espesor Relleno Honeycomb, certificada WH-90 min. Prep. Lisa y 2 pasadores al canto, Medidas :</v>
          </cell>
          <cell r="D55" t="str">
            <v>3'0" x 6'8"</v>
          </cell>
          <cell r="E55" t="e">
            <v>#N/A</v>
          </cell>
          <cell r="F55" t="e">
            <v>#N/A</v>
          </cell>
          <cell r="G55" t="e">
            <v>#N/A</v>
          </cell>
          <cell r="H55" t="e">
            <v>#N/A</v>
          </cell>
          <cell r="I55">
            <v>388</v>
          </cell>
          <cell r="J55">
            <v>0.6</v>
          </cell>
          <cell r="K55">
            <v>232.79999999999998</v>
          </cell>
          <cell r="L55" t="e">
            <v>#N/A</v>
          </cell>
          <cell r="M55" t="e">
            <v>#N/A</v>
          </cell>
          <cell r="N55" t="e">
            <v>#N/A</v>
          </cell>
          <cell r="O55" t="e">
            <v>#N/A</v>
          </cell>
          <cell r="P55" t="str">
            <v>APU-004</v>
          </cell>
        </row>
        <row r="57">
          <cell r="A57">
            <v>31</v>
          </cell>
          <cell r="B57">
            <v>3</v>
          </cell>
          <cell r="C57" t="str">
            <v>Puerta Metalica marca Steelcraft calibre 18 de 1-3/4" de espesor Relleno Honeycomb, certificada WH-90 min. Prep. Cerradura Cilindrica, Medidas :</v>
          </cell>
          <cell r="D57" t="str">
            <v>3'0" x 7'0"</v>
          </cell>
          <cell r="E57" t="str">
            <v>L18-3070-CY-L</v>
          </cell>
          <cell r="F57" t="e">
            <v>#N/A</v>
          </cell>
          <cell r="G57" t="e">
            <v>#N/A</v>
          </cell>
          <cell r="H57" t="e">
            <v>#N/A</v>
          </cell>
          <cell r="I57">
            <v>339</v>
          </cell>
          <cell r="J57">
            <v>0.6</v>
          </cell>
          <cell r="K57">
            <v>203.4</v>
          </cell>
          <cell r="L57" t="str">
            <v>?</v>
          </cell>
          <cell r="M57" t="e">
            <v>#N/A</v>
          </cell>
          <cell r="N57" t="e">
            <v>#N/A</v>
          </cell>
          <cell r="O57" t="e">
            <v>#VALUE!</v>
          </cell>
        </row>
        <row r="58">
          <cell r="A58">
            <v>32</v>
          </cell>
          <cell r="B58">
            <v>3</v>
          </cell>
          <cell r="C58" t="str">
            <v>Puerta Metalica marca Steelcraft calibre 18 de 1-3/4" de espesor Relleno Honeycomb, certificada WH-90 min. Prep. Cerradura Cilindrica y Cierrapuertas, Medidas :</v>
          </cell>
          <cell r="D58" t="str">
            <v>3'0" x 7'0"</v>
          </cell>
          <cell r="E58" t="str">
            <v>L18-3070-CR-CY-L</v>
          </cell>
          <cell r="F58" t="e">
            <v>#N/A</v>
          </cell>
          <cell r="G58" t="e">
            <v>#N/A</v>
          </cell>
          <cell r="H58" t="e">
            <v>#N/A</v>
          </cell>
          <cell r="I58">
            <v>355</v>
          </cell>
          <cell r="J58">
            <v>0.6</v>
          </cell>
          <cell r="K58">
            <v>213</v>
          </cell>
          <cell r="L58" t="str">
            <v>?</v>
          </cell>
          <cell r="M58" t="e">
            <v>#N/A</v>
          </cell>
          <cell r="N58" t="e">
            <v>#N/A</v>
          </cell>
          <cell r="O58" t="e">
            <v>#VALUE!</v>
          </cell>
        </row>
        <row r="59">
          <cell r="A59">
            <v>33</v>
          </cell>
          <cell r="B59">
            <v>3</v>
          </cell>
          <cell r="C59" t="str">
            <v>Puerta Metalica marca Steelcraft calibre 18 de 1-3/4" de espesor Relleno Honeycomb, certificada WH-90 min. Prep. Cierrapuertas y Barra de Panico, Medidas :</v>
          </cell>
          <cell r="D59" t="str">
            <v>3'0" x 7'0"</v>
          </cell>
          <cell r="E59" t="str">
            <v>L18-3070-CR-PB</v>
          </cell>
          <cell r="F59" t="e">
            <v>#N/A</v>
          </cell>
          <cell r="G59" t="e">
            <v>#N/A</v>
          </cell>
          <cell r="H59" t="e">
            <v>#N/A</v>
          </cell>
          <cell r="I59">
            <v>377</v>
          </cell>
          <cell r="J59">
            <v>0.6</v>
          </cell>
          <cell r="K59">
            <v>226.2</v>
          </cell>
          <cell r="L59" t="str">
            <v>?</v>
          </cell>
          <cell r="M59" t="e">
            <v>#N/A</v>
          </cell>
          <cell r="N59" t="e">
            <v>#N/A</v>
          </cell>
          <cell r="O59" t="e">
            <v>#VALUE!</v>
          </cell>
        </row>
        <row r="60">
          <cell r="A60">
            <v>34</v>
          </cell>
          <cell r="B60">
            <v>3</v>
          </cell>
          <cell r="C60" t="str">
            <v>Puerta Metalica marca Steelcraft calibre 18 de 1-3/4" de espesor Relleno Honeycomb, certificada WH-90 min. Prep. Lisa y Cierrapuertas, Medidas :</v>
          </cell>
          <cell r="D60" t="str">
            <v>3'0" x 7'0"</v>
          </cell>
          <cell r="E60" t="str">
            <v>L18-3070-CR-FL</v>
          </cell>
          <cell r="F60" t="e">
            <v>#N/A</v>
          </cell>
          <cell r="G60" t="e">
            <v>#N/A</v>
          </cell>
          <cell r="H60" t="e">
            <v>#N/A</v>
          </cell>
          <cell r="I60">
            <v>355</v>
          </cell>
          <cell r="J60">
            <v>0.6</v>
          </cell>
          <cell r="K60">
            <v>213</v>
          </cell>
          <cell r="L60" t="e">
            <v>#N/A</v>
          </cell>
          <cell r="M60" t="e">
            <v>#N/A</v>
          </cell>
          <cell r="N60" t="e">
            <v>#N/A</v>
          </cell>
          <cell r="O60" t="e">
            <v>#N/A</v>
          </cell>
          <cell r="P60" t="str">
            <v>APU-004</v>
          </cell>
        </row>
        <row r="61">
          <cell r="A61">
            <v>35</v>
          </cell>
          <cell r="B61">
            <v>3</v>
          </cell>
          <cell r="C61" t="str">
            <v>Puerta Metalica marca Steelcraft calibre 18 de 1-3/4" de espesor Relleno Honeycomb, certificada WH-90 min. Prep. Lisa y 2 pasadores al canto, Medidas :</v>
          </cell>
          <cell r="D61" t="str">
            <v>3'0" x 7'0"</v>
          </cell>
          <cell r="E61" t="str">
            <v>L18-3070-FL-2P</v>
          </cell>
          <cell r="F61" t="e">
            <v>#N/A</v>
          </cell>
          <cell r="G61" t="e">
            <v>#N/A</v>
          </cell>
          <cell r="H61" t="e">
            <v>#N/A</v>
          </cell>
          <cell r="I61">
            <v>396</v>
          </cell>
          <cell r="J61">
            <v>0.6</v>
          </cell>
          <cell r="K61">
            <v>237.6</v>
          </cell>
          <cell r="L61" t="e">
            <v>#N/A</v>
          </cell>
          <cell r="M61" t="e">
            <v>#N/A</v>
          </cell>
          <cell r="N61" t="e">
            <v>#N/A</v>
          </cell>
          <cell r="O61" t="e">
            <v>#N/A</v>
          </cell>
          <cell r="P61" t="str">
            <v>APU-004</v>
          </cell>
        </row>
        <row r="63">
          <cell r="A63">
            <v>36</v>
          </cell>
          <cell r="B63">
            <v>3</v>
          </cell>
          <cell r="C63" t="str">
            <v>Puerta Metalica marca Steelcraft Galvanizada calibre 18 de 1-3/4" de espesor Relleno Honeycomb, certificada WH-90 min. Prep. Cerradura Cilindrica, Medidas :</v>
          </cell>
          <cell r="D63" t="str">
            <v>4'0" x 6'8"</v>
          </cell>
          <cell r="E63" t="str">
            <v>L18-4068-CY-L-GALV</v>
          </cell>
          <cell r="F63" t="e">
            <v>#N/A</v>
          </cell>
          <cell r="G63" t="e">
            <v>#N/A</v>
          </cell>
          <cell r="H63" t="e">
            <v>#N/A</v>
          </cell>
          <cell r="I63">
            <v>490</v>
          </cell>
          <cell r="J63">
            <v>0.46</v>
          </cell>
          <cell r="K63">
            <v>225.4</v>
          </cell>
          <cell r="L63" t="e">
            <v>#N/A</v>
          </cell>
          <cell r="M63" t="e">
            <v>#N/A</v>
          </cell>
          <cell r="N63" t="e">
            <v>#N/A</v>
          </cell>
          <cell r="O63" t="e">
            <v>#N/A</v>
          </cell>
          <cell r="P63" t="str">
            <v>APU-004</v>
          </cell>
        </row>
        <row r="64">
          <cell r="A64" t="str">
            <v>36A</v>
          </cell>
          <cell r="B64">
            <v>3</v>
          </cell>
          <cell r="C64" t="str">
            <v>Puerta Metalica marca Steelcraft Galvanizada calibre 18 de 1-3/4" de espesor Relleno Honeycomb, certificada WH-90 min. Prep. Cerradura Cilindrica, Medidas :</v>
          </cell>
          <cell r="D64" t="str">
            <v>3'4" x 6'8"</v>
          </cell>
          <cell r="E64" t="str">
            <v>L18-3468-CY-L-GALV</v>
          </cell>
          <cell r="F64" t="e">
            <v>#N/A</v>
          </cell>
          <cell r="G64" t="e">
            <v>#N/A</v>
          </cell>
          <cell r="H64" t="e">
            <v>#N/A</v>
          </cell>
          <cell r="I64">
            <v>484</v>
          </cell>
          <cell r="J64">
            <v>0.46</v>
          </cell>
          <cell r="K64">
            <v>222.64000000000001</v>
          </cell>
          <cell r="L64" t="e">
            <v>#N/A</v>
          </cell>
          <cell r="M64" t="e">
            <v>#N/A</v>
          </cell>
          <cell r="N64" t="e">
            <v>#N/A</v>
          </cell>
          <cell r="O64" t="e">
            <v>#N/A</v>
          </cell>
          <cell r="P64" t="str">
            <v>APU-004</v>
          </cell>
        </row>
        <row r="65">
          <cell r="A65">
            <v>37</v>
          </cell>
          <cell r="B65">
            <v>3</v>
          </cell>
          <cell r="C65" t="str">
            <v>Puerta Metalica marca Steelcraft calibre 18 de 1-3/4" de espesor Relleno Honeycomb, certificada WH-90 min. Prep. Cerradura Cilindrica y Cierrapuertas, Medidas :</v>
          </cell>
          <cell r="D65" t="str">
            <v>4'0" x 7'0"</v>
          </cell>
          <cell r="E65" t="str">
            <v>L18-4070-CR-CY-L</v>
          </cell>
          <cell r="F65" t="e">
            <v>#N/A</v>
          </cell>
          <cell r="G65" t="e">
            <v>#N/A</v>
          </cell>
          <cell r="H65" t="e">
            <v>#N/A</v>
          </cell>
          <cell r="I65">
            <v>461</v>
          </cell>
          <cell r="J65">
            <v>0.6</v>
          </cell>
          <cell r="K65">
            <v>276.59999999999997</v>
          </cell>
        </row>
        <row r="66">
          <cell r="A66">
            <v>38</v>
          </cell>
          <cell r="B66">
            <v>3</v>
          </cell>
          <cell r="C66" t="str">
            <v>Puerta Metalica marca Steelcraft calibre 18 de 1-3/4" de espesor Relleno Honeycomb, certificada WH-90 min. Prep. Cierrapuertas y Barra de Panico, Medidas :</v>
          </cell>
          <cell r="D66" t="str">
            <v>4'0" x 7'0"</v>
          </cell>
          <cell r="E66" t="str">
            <v>L18-4070-CR-PB</v>
          </cell>
          <cell r="F66" t="e">
            <v>#N/A</v>
          </cell>
          <cell r="G66" t="e">
            <v>#N/A</v>
          </cell>
          <cell r="H66" t="e">
            <v>#N/A</v>
          </cell>
          <cell r="I66">
            <v>483</v>
          </cell>
          <cell r="J66">
            <v>0.6</v>
          </cell>
          <cell r="K66">
            <v>289.8</v>
          </cell>
        </row>
        <row r="67">
          <cell r="A67">
            <v>39</v>
          </cell>
          <cell r="B67">
            <v>3</v>
          </cell>
          <cell r="C67" t="str">
            <v>Puerta Metalica marca Steelcraft calibre 18 de 1-3/4" de espesor Relleno Honeycomb, certificada WH-90 min. Prep. Lisa y Cierrapuertas, Medidas :</v>
          </cell>
          <cell r="D67" t="str">
            <v>4'0" x 7'0"</v>
          </cell>
          <cell r="E67" t="str">
            <v>L18-4070-CR-FL</v>
          </cell>
          <cell r="F67" t="e">
            <v>#N/A</v>
          </cell>
          <cell r="G67" t="e">
            <v>#N/A</v>
          </cell>
          <cell r="H67" t="e">
            <v>#N/A</v>
          </cell>
          <cell r="I67">
            <v>461</v>
          </cell>
          <cell r="J67">
            <v>0.6</v>
          </cell>
          <cell r="K67">
            <v>276.59999999999997</v>
          </cell>
        </row>
        <row r="68">
          <cell r="A68">
            <v>40</v>
          </cell>
          <cell r="B68">
            <v>3</v>
          </cell>
          <cell r="C68" t="str">
            <v>Puerta Metalica marca Steelcraft calibre 18 de 1-3/4" de espesor Relleno Honeycomb, certificada WH-90 min. Prep. Lisa y 2 pasadores al canto, Medidas :</v>
          </cell>
          <cell r="D68" t="str">
            <v>4'0" x 7'0"</v>
          </cell>
          <cell r="E68" t="str">
            <v>L18-4070-FL-2P</v>
          </cell>
          <cell r="F68" t="e">
            <v>#N/A</v>
          </cell>
          <cell r="G68" t="e">
            <v>#N/A</v>
          </cell>
          <cell r="H68" t="e">
            <v>#N/A</v>
          </cell>
          <cell r="I68">
            <v>502</v>
          </cell>
          <cell r="J68">
            <v>0.6</v>
          </cell>
          <cell r="K68">
            <v>301.2</v>
          </cell>
        </row>
        <row r="69">
          <cell r="C69" t="str">
            <v>PUERTAS AMWELD</v>
          </cell>
        </row>
        <row r="70">
          <cell r="A70">
            <v>41</v>
          </cell>
          <cell r="B70">
            <v>4</v>
          </cell>
          <cell r="C70" t="str">
            <v>Puerta Metalica marca Amweld calibre 18 de 1-3/4" de espesor Relleno Poliestireno, certificada WH-90 min. Prep. Cerradura Cilindrica, Medidas :</v>
          </cell>
          <cell r="D70" t="str">
            <v>3'0" x 6'8"</v>
          </cell>
          <cell r="E70" t="str">
            <v>15LE3068-18G-D3</v>
          </cell>
          <cell r="F70" t="str">
            <v>Amweld</v>
          </cell>
          <cell r="G70" t="e">
            <v>#N/A</v>
          </cell>
          <cell r="H70" t="str">
            <v>Amweld</v>
          </cell>
          <cell r="I70">
            <v>282</v>
          </cell>
          <cell r="J70">
            <v>0.54</v>
          </cell>
          <cell r="K70">
            <v>152.28</v>
          </cell>
          <cell r="L70" t="str">
            <v>?</v>
          </cell>
          <cell r="M70">
            <v>1</v>
          </cell>
          <cell r="N70">
            <v>1</v>
          </cell>
          <cell r="O70" t="e">
            <v>#VALUE!</v>
          </cell>
        </row>
        <row r="71">
          <cell r="A71">
            <v>42</v>
          </cell>
          <cell r="B71">
            <v>4</v>
          </cell>
          <cell r="C71" t="str">
            <v>Puerta Metalica marca Amweld calibre 18 de 1-3/4" de espesor Relleno Poliestireno, certificada WH-90 min. Prep. Cerradura Cilindrica y Cierrapuertas, Medidas :</v>
          </cell>
          <cell r="D71" t="str">
            <v>3'0" x 6'8"</v>
          </cell>
          <cell r="E71" t="str">
            <v>15LE3068-18G-D3-CR</v>
          </cell>
          <cell r="F71" t="str">
            <v>Amweld</v>
          </cell>
          <cell r="G71" t="e">
            <v>#N/A</v>
          </cell>
          <cell r="H71" t="str">
            <v>Amweld</v>
          </cell>
          <cell r="I71">
            <v>307</v>
          </cell>
          <cell r="J71">
            <v>0.54</v>
          </cell>
          <cell r="K71">
            <v>165.78</v>
          </cell>
          <cell r="L71" t="str">
            <v>?</v>
          </cell>
          <cell r="M71">
            <v>1</v>
          </cell>
          <cell r="N71">
            <v>1</v>
          </cell>
          <cell r="O71" t="e">
            <v>#VALUE!</v>
          </cell>
        </row>
        <row r="72">
          <cell r="A72">
            <v>43</v>
          </cell>
          <cell r="B72">
            <v>4</v>
          </cell>
          <cell r="C72" t="str">
            <v>Puerta Metalica marca Amweld calibre 18 de 1-3/4" de espesor Relleno Poliestireno, certificada WH-90 min. Prep. Cierrapuertas y Barra de Panico, Medidas :</v>
          </cell>
          <cell r="D72" t="str">
            <v>3'0" x 6'8"</v>
          </cell>
          <cell r="E72" t="str">
            <v>15LE3068-18G-PB3</v>
          </cell>
          <cell r="F72" t="str">
            <v>Amweld</v>
          </cell>
          <cell r="G72" t="e">
            <v>#N/A</v>
          </cell>
          <cell r="H72" t="str">
            <v>Amweld</v>
          </cell>
          <cell r="I72">
            <v>303</v>
          </cell>
          <cell r="J72">
            <v>0.54</v>
          </cell>
          <cell r="K72">
            <v>163.62</v>
          </cell>
          <cell r="L72" t="str">
            <v>?</v>
          </cell>
          <cell r="M72">
            <v>1</v>
          </cell>
          <cell r="N72">
            <v>1</v>
          </cell>
          <cell r="O72" t="e">
            <v>#VALUE!</v>
          </cell>
        </row>
        <row r="73">
          <cell r="A73">
            <v>44</v>
          </cell>
          <cell r="B73">
            <v>4</v>
          </cell>
          <cell r="C73" t="str">
            <v>Puerta Metalica marca Amweld calibre 18 de 1-3/4" de espesor Relleno Poliestireno, certificada WH-90 min. Prep. Lisa y Cierrapuertas, Medidas :</v>
          </cell>
          <cell r="D73" t="str">
            <v>3'0" x 6'8"</v>
          </cell>
          <cell r="E73" t="str">
            <v>15LE3068-18G-F3</v>
          </cell>
          <cell r="F73" t="str">
            <v>Amweld</v>
          </cell>
          <cell r="G73" t="e">
            <v>#N/A</v>
          </cell>
          <cell r="H73" t="str">
            <v>Amweld</v>
          </cell>
          <cell r="I73">
            <v>307</v>
          </cell>
          <cell r="J73">
            <v>0.54</v>
          </cell>
          <cell r="K73">
            <v>165.78</v>
          </cell>
          <cell r="L73">
            <v>1</v>
          </cell>
          <cell r="M73">
            <v>1</v>
          </cell>
          <cell r="N73">
            <v>1</v>
          </cell>
          <cell r="O73">
            <v>50894.46</v>
          </cell>
          <cell r="P73" t="str">
            <v>APU-004</v>
          </cell>
        </row>
        <row r="74">
          <cell r="A74">
            <v>45</v>
          </cell>
          <cell r="B74">
            <v>4</v>
          </cell>
          <cell r="C74" t="str">
            <v>Puerta Metalica marca Amweld calibre 18 de 1-3/4" de espesor Relleno Poliestireno, certificada WH-90 min. Prep. Lisa y 2 pasadores al canto, Medidas :</v>
          </cell>
          <cell r="D74" t="str">
            <v>3'0" x 6'8"</v>
          </cell>
          <cell r="E74" t="str">
            <v>15LE3068-18G-F-U3</v>
          </cell>
          <cell r="F74" t="str">
            <v>Amweld</v>
          </cell>
          <cell r="G74" t="e">
            <v>#N/A</v>
          </cell>
          <cell r="H74" t="str">
            <v>Amweld</v>
          </cell>
          <cell r="I74">
            <v>378</v>
          </cell>
          <cell r="J74">
            <v>0.54</v>
          </cell>
          <cell r="K74">
            <v>204.12</v>
          </cell>
          <cell r="L74">
            <v>1</v>
          </cell>
          <cell r="M74">
            <v>1</v>
          </cell>
          <cell r="N74">
            <v>1</v>
          </cell>
          <cell r="O74">
            <v>77157.36</v>
          </cell>
          <cell r="P74" t="str">
            <v>APU-004</v>
          </cell>
        </row>
        <row r="76">
          <cell r="A76">
            <v>46</v>
          </cell>
          <cell r="B76">
            <v>4</v>
          </cell>
          <cell r="C76" t="str">
            <v>Puerta Metalica marca Amweld calibre 18 de 1-3/4" de espesor Relleno Poliestireno, certificada WH-90 min. Prep. Cerradura Cilindrica, Medidas :</v>
          </cell>
          <cell r="D76" t="str">
            <v>3'0" x 7'0"</v>
          </cell>
          <cell r="E76" t="str">
            <v>15LE3070-18G-D3</v>
          </cell>
          <cell r="F76" t="str">
            <v>Amweld</v>
          </cell>
          <cell r="G76" t="e">
            <v>#N/A</v>
          </cell>
          <cell r="H76" t="str">
            <v>Amweld</v>
          </cell>
          <cell r="I76">
            <v>295</v>
          </cell>
          <cell r="J76">
            <v>0.54</v>
          </cell>
          <cell r="K76">
            <v>159.30000000000001</v>
          </cell>
          <cell r="L76" t="str">
            <v>?</v>
          </cell>
          <cell r="M76">
            <v>1</v>
          </cell>
          <cell r="N76">
            <v>1</v>
          </cell>
          <cell r="O76" t="e">
            <v>#VALUE!</v>
          </cell>
        </row>
        <row r="77">
          <cell r="A77">
            <v>47</v>
          </cell>
          <cell r="B77">
            <v>4</v>
          </cell>
          <cell r="C77" t="str">
            <v>Puerta Metalica marca Amweld calibre 18 de 1-3/4" de espesor Relleno Poliestireno, certificada WH-90 min. Prep. Cerradura Cilindrica y Cierrapuertas, Medidas :</v>
          </cell>
          <cell r="D77" t="str">
            <v>3'0" x 7'0"</v>
          </cell>
          <cell r="E77" t="str">
            <v>15LE3070-18G-D3-CR</v>
          </cell>
          <cell r="F77" t="str">
            <v>Amweld</v>
          </cell>
          <cell r="G77" t="e">
            <v>#N/A</v>
          </cell>
          <cell r="H77" t="str">
            <v>Amweld</v>
          </cell>
          <cell r="I77">
            <v>320</v>
          </cell>
          <cell r="J77">
            <v>0.54</v>
          </cell>
          <cell r="K77">
            <v>172.8</v>
          </cell>
          <cell r="L77" t="str">
            <v>?</v>
          </cell>
          <cell r="M77">
            <v>1</v>
          </cell>
          <cell r="N77">
            <v>1</v>
          </cell>
          <cell r="O77" t="e">
            <v>#VALUE!</v>
          </cell>
        </row>
        <row r="78">
          <cell r="A78">
            <v>48</v>
          </cell>
          <cell r="B78">
            <v>4</v>
          </cell>
          <cell r="C78" t="str">
            <v>Puerta Metalica marca Amweld calibre 18 de 1-3/4" de espesor Relleno Poliestireno, certificada WH-90 min. Prep. Cierrapuertas y Barra de Panico, Medidas :</v>
          </cell>
          <cell r="D78" t="str">
            <v>3'0" x 7'0"</v>
          </cell>
          <cell r="E78" t="str">
            <v>15LE3070-18G-PB3</v>
          </cell>
          <cell r="F78" t="str">
            <v>Amweld</v>
          </cell>
          <cell r="G78" t="e">
            <v>#N/A</v>
          </cell>
          <cell r="H78" t="str">
            <v>Amweld</v>
          </cell>
          <cell r="I78">
            <v>316</v>
          </cell>
          <cell r="J78">
            <v>0.54</v>
          </cell>
          <cell r="K78">
            <v>170.64000000000001</v>
          </cell>
          <cell r="L78" t="str">
            <v>?</v>
          </cell>
          <cell r="M78">
            <v>1</v>
          </cell>
          <cell r="N78">
            <v>1</v>
          </cell>
          <cell r="O78" t="e">
            <v>#VALUE!</v>
          </cell>
        </row>
        <row r="79">
          <cell r="A79">
            <v>49</v>
          </cell>
          <cell r="B79">
            <v>4</v>
          </cell>
          <cell r="C79" t="str">
            <v>Puerta Metalica marca Amweld calibre 18 de 1-3/4" de espesor Relleno Poliestireno, certificada WH-90 min. Prep. Lisa y Cierrapuertas, Medidas :</v>
          </cell>
          <cell r="D79" t="str">
            <v>3'0" x 7'0"</v>
          </cell>
          <cell r="E79" t="str">
            <v>15LE3070-18G-F3</v>
          </cell>
          <cell r="F79" t="str">
            <v>Amweld</v>
          </cell>
          <cell r="G79" t="e">
            <v>#N/A</v>
          </cell>
          <cell r="H79" t="str">
            <v>Amweld</v>
          </cell>
          <cell r="I79">
            <v>320</v>
          </cell>
          <cell r="J79">
            <v>0.54</v>
          </cell>
          <cell r="K79">
            <v>172.8</v>
          </cell>
          <cell r="L79">
            <v>1</v>
          </cell>
          <cell r="M79">
            <v>1</v>
          </cell>
          <cell r="N79">
            <v>1</v>
          </cell>
          <cell r="O79">
            <v>55296</v>
          </cell>
          <cell r="P79" t="str">
            <v>APU-004</v>
          </cell>
        </row>
        <row r="80">
          <cell r="A80">
            <v>50</v>
          </cell>
          <cell r="B80">
            <v>4</v>
          </cell>
          <cell r="C80" t="str">
            <v>Puerta Metalica marca Amweld calibre 18 de 1-3/4" de espesor Relleno Poliestireno, certificada WH-90 min. Prep. Lisa y 2 pasadores al canto, Medidas :</v>
          </cell>
          <cell r="D80" t="str">
            <v>3'0" x 7'0"</v>
          </cell>
          <cell r="E80" t="str">
            <v>15LE3070-18G-F-U3</v>
          </cell>
          <cell r="F80" t="str">
            <v>Amweld</v>
          </cell>
          <cell r="G80" t="e">
            <v>#N/A</v>
          </cell>
          <cell r="H80" t="str">
            <v>Amweld</v>
          </cell>
          <cell r="I80">
            <v>391</v>
          </cell>
          <cell r="J80">
            <v>0.54</v>
          </cell>
          <cell r="K80">
            <v>211.14000000000001</v>
          </cell>
          <cell r="L80">
            <v>1</v>
          </cell>
          <cell r="M80">
            <v>1</v>
          </cell>
          <cell r="N80">
            <v>1</v>
          </cell>
          <cell r="O80">
            <v>82555.740000000005</v>
          </cell>
          <cell r="P80" t="str">
            <v>APU-004</v>
          </cell>
        </row>
        <row r="82">
          <cell r="A82">
            <v>51</v>
          </cell>
          <cell r="B82">
            <v>4</v>
          </cell>
          <cell r="C82" t="str">
            <v>Puerta Metalica marca Amweld calibre 18 de 1-3/4" de espesor Relleno Poliestireno, certificada WH-90 min. Prep. Cerradura Cilindrica, Medidas :</v>
          </cell>
          <cell r="D82" t="str">
            <v>4'0" x 7'0"</v>
          </cell>
          <cell r="E82" t="str">
            <v>15LE4070-18G-D3</v>
          </cell>
          <cell r="F82" t="str">
            <v>Amweld</v>
          </cell>
          <cell r="G82" t="e">
            <v>#N/A</v>
          </cell>
          <cell r="H82" t="str">
            <v>Amweld</v>
          </cell>
          <cell r="I82">
            <v>380</v>
          </cell>
          <cell r="J82">
            <v>0.54</v>
          </cell>
          <cell r="K82">
            <v>205.20000000000002</v>
          </cell>
          <cell r="L82">
            <v>1</v>
          </cell>
          <cell r="M82">
            <v>1</v>
          </cell>
          <cell r="N82">
            <v>1</v>
          </cell>
          <cell r="O82">
            <v>77976</v>
          </cell>
          <cell r="P82" t="str">
            <v>APU-004</v>
          </cell>
        </row>
        <row r="83">
          <cell r="A83">
            <v>52</v>
          </cell>
          <cell r="B83">
            <v>4</v>
          </cell>
          <cell r="C83" t="str">
            <v>Puerta Metalica marca Amweld calibre 18 de 1-3/4" de espesor Relleno Poliestireno, certificada WH-90 min. Prep. Cerradura Cilindrica y Cierrapuertas, Medidas :</v>
          </cell>
          <cell r="D83" t="str">
            <v>4'0" x 7'0"</v>
          </cell>
          <cell r="E83" t="str">
            <v>15LE4070-18G-D3-CR</v>
          </cell>
          <cell r="F83" t="str">
            <v>Amweld</v>
          </cell>
          <cell r="G83" t="e">
            <v>#N/A</v>
          </cell>
          <cell r="H83" t="str">
            <v>Amweld</v>
          </cell>
          <cell r="I83">
            <v>405</v>
          </cell>
          <cell r="J83">
            <v>0.54</v>
          </cell>
          <cell r="K83">
            <v>218.70000000000002</v>
          </cell>
        </row>
        <row r="84">
          <cell r="A84">
            <v>53</v>
          </cell>
          <cell r="B84">
            <v>4</v>
          </cell>
          <cell r="C84" t="str">
            <v>Puerta Metalica marca Amweld calibre 18 de 1-3/4" de espesor Relleno Poliestireno, certificada WH-90 min. Prep. Cierrapuertas y Barra de Panico, Medidas :</v>
          </cell>
          <cell r="D84" t="str">
            <v>4'0" x 7'0"</v>
          </cell>
          <cell r="E84" t="str">
            <v>15LE4070-18G-PB3</v>
          </cell>
          <cell r="F84" t="str">
            <v>Amweld</v>
          </cell>
          <cell r="G84" t="e">
            <v>#N/A</v>
          </cell>
          <cell r="H84" t="str">
            <v>Amweld</v>
          </cell>
          <cell r="I84">
            <v>380</v>
          </cell>
          <cell r="J84">
            <v>0.54</v>
          </cell>
          <cell r="K84">
            <v>205.20000000000002</v>
          </cell>
        </row>
        <row r="85">
          <cell r="A85">
            <v>54</v>
          </cell>
          <cell r="B85">
            <v>4</v>
          </cell>
          <cell r="C85" t="str">
            <v>Puerta Metalica marca Amweld calibre 18 de 1-3/4" de espesor Relleno Poliestireno, certificada WH-90 min. Prep. Lisa y Cierrapuertas, Medidas :</v>
          </cell>
          <cell r="D85" t="str">
            <v>4'0" x 7'0"</v>
          </cell>
          <cell r="E85" t="str">
            <v>15LE4070-18G-F3</v>
          </cell>
          <cell r="F85" t="str">
            <v>Amweld</v>
          </cell>
          <cell r="G85" t="e">
            <v>#N/A</v>
          </cell>
          <cell r="H85" t="str">
            <v>Amweld</v>
          </cell>
          <cell r="I85">
            <v>405</v>
          </cell>
          <cell r="J85">
            <v>0.54</v>
          </cell>
          <cell r="K85">
            <v>218.70000000000002</v>
          </cell>
        </row>
        <row r="86">
          <cell r="A86">
            <v>55</v>
          </cell>
          <cell r="B86">
            <v>4</v>
          </cell>
          <cell r="C86" t="str">
            <v>Puerta Metalica marca Amweld calibre 18 de 1-3/4" de espesor Relleno Poliestireno, certificada WH-90 min. Prep. Lisa y 2 pasadores al canto, Medidas :</v>
          </cell>
          <cell r="D86" t="str">
            <v>4'0" x 7'0"</v>
          </cell>
          <cell r="E86" t="str">
            <v>15LE4070-18G-F-U3</v>
          </cell>
          <cell r="F86" t="str">
            <v>Amweld</v>
          </cell>
          <cell r="G86" t="e">
            <v>#N/A</v>
          </cell>
          <cell r="H86" t="str">
            <v>Amweld</v>
          </cell>
          <cell r="I86">
            <v>420</v>
          </cell>
          <cell r="J86">
            <v>0.54</v>
          </cell>
          <cell r="K86">
            <v>226.8</v>
          </cell>
        </row>
        <row r="87">
          <cell r="C87" t="str">
            <v>MARCOS TIMELY</v>
          </cell>
        </row>
        <row r="88">
          <cell r="A88">
            <v>56</v>
          </cell>
          <cell r="B88">
            <v>5</v>
          </cell>
          <cell r="C88" t="str">
            <v xml:space="preserve">Marco Metalico Sencillo con Chambrana marca Timely/Rediframe calibre 18 para muro de Tablaroca de 5 1/2" preparacion estandar, Medidas : </v>
          </cell>
          <cell r="D88" t="str">
            <v>3'0" x 6'8"</v>
          </cell>
          <cell r="E88" t="str">
            <v>53C3068-18G-1-3/4</v>
          </cell>
          <cell r="F88" t="str">
            <v>Timely/Rediframe</v>
          </cell>
          <cell r="G88" t="str">
            <v>Color Ivory</v>
          </cell>
          <cell r="H88" t="str">
            <v>Timely</v>
          </cell>
          <cell r="I88">
            <v>68.47</v>
          </cell>
          <cell r="J88">
            <v>0.76</v>
          </cell>
          <cell r="K88">
            <v>52.037199999999999</v>
          </cell>
          <cell r="L88" t="str">
            <v>?</v>
          </cell>
          <cell r="M88">
            <v>1.06</v>
          </cell>
          <cell r="N88">
            <v>1.17</v>
          </cell>
          <cell r="O88" t="e">
            <v>#VALUE!</v>
          </cell>
        </row>
        <row r="89">
          <cell r="A89" t="str">
            <v>56A</v>
          </cell>
          <cell r="B89">
            <v>5</v>
          </cell>
          <cell r="C89" t="str">
            <v xml:space="preserve">Marco Metalico Sencillo con Chambrana marca Timely/Rediframe calibre 18 para muro de Tablaroca de 5 1/2" preparacion estandar, Medidas : </v>
          </cell>
          <cell r="D89" t="str">
            <v>3'4" x 6'8"</v>
          </cell>
          <cell r="E89" t="str">
            <v>53C3468-18G-1-3/4</v>
          </cell>
          <cell r="F89" t="str">
            <v>Timely/Rediframe</v>
          </cell>
          <cell r="G89" t="str">
            <v>Color Ivory</v>
          </cell>
          <cell r="H89" t="str">
            <v>Timely</v>
          </cell>
          <cell r="I89">
            <v>68.47</v>
          </cell>
          <cell r="J89">
            <v>0.76</v>
          </cell>
          <cell r="K89">
            <v>52.037199999999999</v>
          </cell>
          <cell r="L89" t="str">
            <v>?</v>
          </cell>
          <cell r="M89">
            <v>1.06</v>
          </cell>
          <cell r="N89">
            <v>1.17</v>
          </cell>
          <cell r="O89" t="e">
            <v>#VALUE!</v>
          </cell>
        </row>
        <row r="90">
          <cell r="A90" t="str">
            <v>56b</v>
          </cell>
          <cell r="B90">
            <v>5</v>
          </cell>
          <cell r="C90" t="str">
            <v xml:space="preserve">Marco Metalico Sencillo con Chambrana marca Timely/Rediframe calibre 18 para muro de Tablaroca de 5 1/2" preparacion estandar, Medidas : </v>
          </cell>
          <cell r="D90" t="str">
            <v>3'8" x 6'8"</v>
          </cell>
          <cell r="E90" t="str">
            <v>36C3868-18G-1-3/4</v>
          </cell>
          <cell r="F90" t="str">
            <v>Timely/Rediframe</v>
          </cell>
          <cell r="G90" t="str">
            <v>Color Ivory</v>
          </cell>
          <cell r="H90" t="str">
            <v>Timely</v>
          </cell>
          <cell r="I90">
            <v>68.47</v>
          </cell>
          <cell r="J90">
            <v>0.76</v>
          </cell>
          <cell r="K90">
            <v>52.037199999999999</v>
          </cell>
          <cell r="L90" t="str">
            <v>?</v>
          </cell>
          <cell r="M90">
            <v>1.06</v>
          </cell>
          <cell r="N90">
            <v>1.17</v>
          </cell>
          <cell r="O90" t="e">
            <v>#VALUE!</v>
          </cell>
        </row>
        <row r="91">
          <cell r="A91" t="str">
            <v>56C</v>
          </cell>
          <cell r="B91">
            <v>5</v>
          </cell>
          <cell r="C91" t="str">
            <v xml:space="preserve">Marco Metalico Sencillo con Chambrana marca Timely/Refidrame calibre 18 para muro de Tablaroca de 5 1/2" preparacion estandar, Medidas : </v>
          </cell>
          <cell r="D91" t="str">
            <v>2'2" x 6'8"</v>
          </cell>
          <cell r="E91" t="str">
            <v>36C2268-18G-1-3/4</v>
          </cell>
          <cell r="F91" t="str">
            <v>Timely/Rediframe</v>
          </cell>
          <cell r="G91" t="str">
            <v>Color Ivory</v>
          </cell>
          <cell r="H91" t="str">
            <v>Timely</v>
          </cell>
          <cell r="I91">
            <v>68.47</v>
          </cell>
          <cell r="J91">
            <v>0.76</v>
          </cell>
          <cell r="K91">
            <v>52.037199999999999</v>
          </cell>
          <cell r="L91" t="str">
            <v>?</v>
          </cell>
          <cell r="M91">
            <v>1.06</v>
          </cell>
          <cell r="N91">
            <v>1.17</v>
          </cell>
          <cell r="O91" t="e">
            <v>#VALUE!</v>
          </cell>
        </row>
        <row r="92">
          <cell r="A92" t="str">
            <v>56d</v>
          </cell>
          <cell r="B92">
            <v>5</v>
          </cell>
          <cell r="C92" t="str">
            <v xml:space="preserve">Marco Metalico Sencillo con Chambrana marca Timely/Rediframe calibre 18 para muro de Tablaroca de 5 1/2" preparacion estandar, Medidas : </v>
          </cell>
          <cell r="D92" t="str">
            <v>2'6" x 6'8"</v>
          </cell>
          <cell r="E92" t="str">
            <v>36C2668-18G-1-3/4</v>
          </cell>
          <cell r="F92" t="str">
            <v>Timely/Rediframe</v>
          </cell>
          <cell r="G92" t="str">
            <v>Color Ivory</v>
          </cell>
          <cell r="H92" t="str">
            <v>Timely</v>
          </cell>
          <cell r="I92">
            <v>78.319999999999993</v>
          </cell>
          <cell r="J92">
            <v>0.84</v>
          </cell>
          <cell r="K92">
            <v>65.788799999999995</v>
          </cell>
          <cell r="L92" t="str">
            <v>?</v>
          </cell>
          <cell r="M92">
            <v>1.06</v>
          </cell>
          <cell r="N92">
            <v>1.17</v>
          </cell>
          <cell r="O92" t="e">
            <v>#VALUE!</v>
          </cell>
        </row>
        <row r="93">
          <cell r="A93">
            <v>57</v>
          </cell>
          <cell r="B93">
            <v>5</v>
          </cell>
          <cell r="C93" t="str">
            <v>Marco Metalico Sencillo con Chambrana marca Timely/Rediframe calibre 18 para muro de Tablaroca de 5 1/2" preparacion Estandar y Refuerzo para Cierrapuertas, Medidas :</v>
          </cell>
          <cell r="D93" t="str">
            <v>3'0" x 6'8"</v>
          </cell>
          <cell r="E93" t="str">
            <v>53C3068-18G-1-3/4-CR</v>
          </cell>
          <cell r="F93" t="str">
            <v>Timely/Rediframe</v>
          </cell>
          <cell r="G93" t="str">
            <v>Color Ivory</v>
          </cell>
          <cell r="H93" t="str">
            <v>Timely</v>
          </cell>
          <cell r="I93">
            <v>83.36999999999999</v>
          </cell>
          <cell r="J93">
            <v>0.84</v>
          </cell>
          <cell r="K93">
            <v>70.030799999999985</v>
          </cell>
          <cell r="L93" t="str">
            <v>?</v>
          </cell>
          <cell r="M93">
            <v>1.06</v>
          </cell>
          <cell r="N93">
            <v>1.17</v>
          </cell>
          <cell r="O93" t="e">
            <v>#VALUE!</v>
          </cell>
        </row>
        <row r="94">
          <cell r="A94">
            <v>58</v>
          </cell>
          <cell r="B94">
            <v>5</v>
          </cell>
          <cell r="C94" t="str">
            <v>Marco Metalico Sencillo con Chambrana marca Timely/Rediframe, calibre 18 para muro de Tablaroca de 5 1/2" preparacion Estandar y Refuerzo para Cierrapuertas, Medidas :</v>
          </cell>
          <cell r="D94" t="str">
            <v>4'0" x 6'8"</v>
          </cell>
          <cell r="E94" t="str">
            <v>53C4068-18G-1-3/4-CR</v>
          </cell>
          <cell r="F94" t="str">
            <v>Timely/Rediframe</v>
          </cell>
          <cell r="G94" t="str">
            <v>Color Ivory</v>
          </cell>
          <cell r="H94" t="str">
            <v>Timely</v>
          </cell>
          <cell r="I94">
            <v>83.36999999999999</v>
          </cell>
          <cell r="J94">
            <v>0.84</v>
          </cell>
          <cell r="K94">
            <v>70.030799999999985</v>
          </cell>
          <cell r="L94" t="str">
            <v>?</v>
          </cell>
          <cell r="M94">
            <v>1.06</v>
          </cell>
          <cell r="N94">
            <v>1.17</v>
          </cell>
          <cell r="O94" t="e">
            <v>#VALUE!</v>
          </cell>
        </row>
        <row r="95">
          <cell r="A95">
            <v>59</v>
          </cell>
          <cell r="B95">
            <v>5</v>
          </cell>
          <cell r="C95" t="str">
            <v>Marco Metalico Doble con Chambrana marca Timely/Rediframe calibre 18 para muro de Tablaroca de 5 1/2" preparacion Estandar y Refuerzo para Cierrapuertas, Medidas :</v>
          </cell>
          <cell r="D95" t="str">
            <v>6'0" x 6'8"</v>
          </cell>
          <cell r="E95" t="str">
            <v>53C6068-18G-1-3/4-CR</v>
          </cell>
          <cell r="F95" t="str">
            <v>Timely/Rediframe</v>
          </cell>
          <cell r="G95" t="str">
            <v>Color Ivory</v>
          </cell>
          <cell r="H95" t="str">
            <v>Timely</v>
          </cell>
          <cell r="I95">
            <v>102.59</v>
          </cell>
          <cell r="J95">
            <v>0.76</v>
          </cell>
          <cell r="K95">
            <v>77.968400000000003</v>
          </cell>
          <cell r="L95" t="str">
            <v>?</v>
          </cell>
          <cell r="M95">
            <v>1.06</v>
          </cell>
          <cell r="N95">
            <v>1.17</v>
          </cell>
          <cell r="O95" t="e">
            <v>#VALUE!</v>
          </cell>
        </row>
        <row r="96">
          <cell r="A96" t="str">
            <v>59-A</v>
          </cell>
          <cell r="B96">
            <v>5</v>
          </cell>
          <cell r="C96" t="str">
            <v>Marco Metalico Doble con Chambrana marca Timely/Rediframe calibre 18 para muro de Tablaroca de 5 1/2" preparacion Estandar y Refuerzo para Cierrapuertas, Medidas :</v>
          </cell>
          <cell r="D96" t="str">
            <v>4'0" x 6'8"</v>
          </cell>
          <cell r="E96" t="str">
            <v>53C4068-18G-1-3/4-CR</v>
          </cell>
          <cell r="F96" t="str">
            <v>Timely/Rediframe</v>
          </cell>
          <cell r="G96" t="str">
            <v>Color Ivory</v>
          </cell>
          <cell r="H96" t="str">
            <v>Timely</v>
          </cell>
          <cell r="I96">
            <v>102.59</v>
          </cell>
          <cell r="J96">
            <v>0.76</v>
          </cell>
          <cell r="K96">
            <v>77.968400000000003</v>
          </cell>
          <cell r="L96" t="str">
            <v>?</v>
          </cell>
          <cell r="M96">
            <v>1.06</v>
          </cell>
          <cell r="N96">
            <v>1.17</v>
          </cell>
          <cell r="O96" t="e">
            <v>#VALUE!</v>
          </cell>
        </row>
        <row r="97">
          <cell r="A97">
            <v>60</v>
          </cell>
          <cell r="B97">
            <v>5</v>
          </cell>
          <cell r="C97" t="str">
            <v>Marco Metalico de Intercomunicacion con Chambrana marca Timely/Rediframe calibre 18 para muro de Tablaroca de 5 1/2" preparacion estandar , Medidas :</v>
          </cell>
          <cell r="D97" t="str">
            <v>3'0" x 6'8"</v>
          </cell>
          <cell r="E97" t="str">
            <v>53C3068-18G-1-3/4-COM</v>
          </cell>
          <cell r="F97" t="str">
            <v>Timely/Rediframe</v>
          </cell>
          <cell r="G97" t="str">
            <v>Color Ivory</v>
          </cell>
          <cell r="H97" t="str">
            <v>Timely</v>
          </cell>
          <cell r="I97">
            <v>92.1</v>
          </cell>
          <cell r="J97">
            <v>0.84</v>
          </cell>
          <cell r="K97">
            <v>77.36399999999999</v>
          </cell>
          <cell r="L97" t="str">
            <v>?</v>
          </cell>
          <cell r="M97">
            <v>1.06</v>
          </cell>
          <cell r="N97">
            <v>1.17</v>
          </cell>
          <cell r="O97" t="e">
            <v>#VALUE!</v>
          </cell>
        </row>
        <row r="98">
          <cell r="A98" t="e">
            <v>#N/A</v>
          </cell>
          <cell r="B98">
            <v>6</v>
          </cell>
          <cell r="C98" t="str">
            <v>Marco Metalico de Intercomunicacion con Chambrana marca Timely/Rediframe calibre 18 para muro de Tablaroca de 4 1/2" preparacion estandar , Medidas :</v>
          </cell>
          <cell r="D98" t="str">
            <v>3'0" x 6'8"</v>
          </cell>
          <cell r="E98" t="str">
            <v>53C3068-18G-1-3/4-COM</v>
          </cell>
          <cell r="F98" t="str">
            <v>Timely/Rediframe</v>
          </cell>
          <cell r="G98" t="str">
            <v>Color Ivory</v>
          </cell>
          <cell r="H98" t="str">
            <v>Timely</v>
          </cell>
          <cell r="I98">
            <v>78.22</v>
          </cell>
          <cell r="J98">
            <v>0.76</v>
          </cell>
          <cell r="K98">
            <v>59.447200000000002</v>
          </cell>
          <cell r="L98" t="str">
            <v>?</v>
          </cell>
          <cell r="M98">
            <v>1.06</v>
          </cell>
          <cell r="N98">
            <v>1.17</v>
          </cell>
          <cell r="O98" t="e">
            <v>#VALUE!</v>
          </cell>
        </row>
        <row r="99">
          <cell r="A99">
            <v>61</v>
          </cell>
          <cell r="B99">
            <v>5</v>
          </cell>
          <cell r="C99" t="str">
            <v xml:space="preserve">Marco Metalico Sencillo de tres largueros y dos cabezales, con Chambrana marca Timely/Rediframe calibre 20 para muro de Tablaroca de 3 3/4" preparacion estandar, Medidas : </v>
          </cell>
          <cell r="D99" t="str">
            <v>3'0" x 6'8"</v>
          </cell>
          <cell r="E99" t="str">
            <v>36S3068-20G-1-3/8</v>
          </cell>
          <cell r="F99" t="str">
            <v>Timely/Rediframe</v>
          </cell>
          <cell r="G99" t="str">
            <v>Color Ivory</v>
          </cell>
          <cell r="H99" t="str">
            <v>Timely</v>
          </cell>
          <cell r="I99">
            <v>98.46</v>
          </cell>
          <cell r="J99">
            <v>0.76</v>
          </cell>
          <cell r="K99">
            <v>74.829599999999999</v>
          </cell>
          <cell r="L99" t="str">
            <v>?</v>
          </cell>
          <cell r="M99">
            <v>1.06</v>
          </cell>
          <cell r="N99">
            <v>1.17</v>
          </cell>
          <cell r="O99" t="e">
            <v>#VALUE!</v>
          </cell>
        </row>
        <row r="100">
          <cell r="A100" t="str">
            <v>61A</v>
          </cell>
          <cell r="B100">
            <v>5</v>
          </cell>
          <cell r="C100" t="str">
            <v xml:space="preserve">Marco Metalico Sencillo de tres largueros y dos cabezales, con Chambrana marca Timely/Rediframe calibre 20 para muro de Tablaroca de 3 3/4" preparacion estandar, Medidas : </v>
          </cell>
          <cell r="D100" t="str">
            <v>2'6" x 6'8"</v>
          </cell>
          <cell r="E100" t="str">
            <v>36S2668-20G-1-3/8</v>
          </cell>
          <cell r="F100" t="str">
            <v>Timely/Rediframe</v>
          </cell>
          <cell r="G100" t="str">
            <v>Color Ivory</v>
          </cell>
          <cell r="H100" t="str">
            <v>Timely</v>
          </cell>
          <cell r="I100">
            <v>98.46</v>
          </cell>
          <cell r="J100">
            <v>0.76</v>
          </cell>
          <cell r="K100">
            <v>74.829599999999999</v>
          </cell>
          <cell r="L100" t="str">
            <v>?</v>
          </cell>
          <cell r="M100">
            <v>1.06</v>
          </cell>
          <cell r="N100">
            <v>1.17</v>
          </cell>
          <cell r="O100" t="e">
            <v>#VALUE!</v>
          </cell>
        </row>
        <row r="101">
          <cell r="A101">
            <v>62</v>
          </cell>
          <cell r="B101">
            <v>5</v>
          </cell>
          <cell r="C101" t="str">
            <v>Marco Metalico Sencillo con Chambrana marca Timely/Rediframecalibre 20 para muro de Tablaroca de 3 3/4" preparacion estandar , Medidas :</v>
          </cell>
          <cell r="D101" t="str">
            <v>2'6" x 6'8"</v>
          </cell>
          <cell r="E101" t="str">
            <v>36S2668-20G-1-3/8</v>
          </cell>
          <cell r="F101" t="str">
            <v>Timely/Rediframe</v>
          </cell>
          <cell r="G101" t="str">
            <v>Color Ivory</v>
          </cell>
          <cell r="H101" t="str">
            <v>Timely</v>
          </cell>
          <cell r="I101">
            <v>62.36</v>
          </cell>
          <cell r="J101">
            <v>0.76</v>
          </cell>
          <cell r="K101">
            <v>47.393599999999999</v>
          </cell>
          <cell r="L101" t="str">
            <v>?</v>
          </cell>
          <cell r="M101">
            <v>1.06</v>
          </cell>
          <cell r="N101">
            <v>1.17</v>
          </cell>
          <cell r="O101" t="e">
            <v>#VALUE!</v>
          </cell>
        </row>
        <row r="102">
          <cell r="A102" t="str">
            <v>62-A</v>
          </cell>
          <cell r="B102">
            <v>5</v>
          </cell>
          <cell r="C102" t="str">
            <v>Marco Metalico Sencillo con Chambrana marca Timely/Rediframe calibre 20 para muro de Tablaroca de 3 3/4" preparacion estandar , Medidas :</v>
          </cell>
          <cell r="D102" t="str">
            <v>2'2" x 6'8"</v>
          </cell>
          <cell r="E102" t="str">
            <v>36S2268-20G-1-3/8</v>
          </cell>
          <cell r="F102" t="str">
            <v>Timely/Rediframe</v>
          </cell>
          <cell r="G102" t="str">
            <v>Color Ivory</v>
          </cell>
          <cell r="H102" t="str">
            <v>Timely</v>
          </cell>
          <cell r="I102">
            <v>62.36</v>
          </cell>
          <cell r="J102">
            <v>0.76</v>
          </cell>
          <cell r="K102">
            <v>47.393599999999999</v>
          </cell>
          <cell r="L102" t="str">
            <v>?</v>
          </cell>
          <cell r="M102">
            <v>1.06</v>
          </cell>
          <cell r="N102">
            <v>1.17</v>
          </cell>
          <cell r="O102" t="e">
            <v>#VALUE!</v>
          </cell>
        </row>
        <row r="104">
          <cell r="A104">
            <v>63</v>
          </cell>
          <cell r="B104">
            <v>5</v>
          </cell>
          <cell r="C104" t="str">
            <v>dar, Medidas : _x0000__x0000_Marco Metalico Sencillo con Chambrana marca Timely/Rediframecalibre 20 para muro de Tablaroca de 3 3/4" preparacion estandar , Medidas :¬_x0000__x0000_Marco Metalico Sencillo de tres largueros y dos cabezales, con Chambrana marca Timely/Rediframe ca</v>
          </cell>
          <cell r="D104" t="str">
            <v>3'0" x 7'0"</v>
          </cell>
          <cell r="E104" t="str">
            <v>53C3070-18G-1-3/4</v>
          </cell>
          <cell r="F104" t="str">
            <v>Timely/Rediframe</v>
          </cell>
          <cell r="G104" t="str">
            <v>Color Ivory</v>
          </cell>
          <cell r="H104" t="str">
            <v>Timely</v>
          </cell>
          <cell r="I104">
            <v>83.169999999999987</v>
          </cell>
          <cell r="J104">
            <v>0.84</v>
          </cell>
          <cell r="K104">
            <v>69.862799999999993</v>
          </cell>
          <cell r="L104" t="str">
            <v>?</v>
          </cell>
          <cell r="M104">
            <v>1.06</v>
          </cell>
          <cell r="N104">
            <v>1.17</v>
          </cell>
          <cell r="O104" t="e">
            <v>#VALUE!</v>
          </cell>
        </row>
        <row r="105">
          <cell r="A105" t="e">
            <v>#N/A</v>
          </cell>
          <cell r="B105">
            <v>5</v>
          </cell>
          <cell r="C105" t="str">
            <v>Marco Metalico Senci汬⁯潣⁮桃浡牢湡⁡慭捲⁡楔敭祬爯敒楤牦浡捥污扩敲ㄠ‸慰慲洠牵⁯敤吠扡慬潲慣搠⁥‵⼱∲瀠敲慰慲楣湯攠瑳湡慤Ⱳ䴠摥摩獡㨠訠_x0000_慍捲⁯敍慴楬潣匠湥楣汬⁯潣⁮桃浡牢湡⁡慭捲⁡楔敭祬爯敒楤牦浡⁥慣楬牢⁥㠱瀠牡⁡畭潲搠⁥慔汢牡捯⁡敤㔠ㄠ㈯•牰灥牡捡</v>
          </cell>
          <cell r="D105" t="e">
            <v>#N/A</v>
          </cell>
          <cell r="E105" t="e">
            <v>#N/A</v>
          </cell>
          <cell r="F105" t="str">
            <v>Timely/Rediframe</v>
          </cell>
          <cell r="G105" t="str">
            <v>Color Ivory</v>
          </cell>
          <cell r="H105" t="str">
            <v>Timely</v>
          </cell>
          <cell r="I105">
            <v>62.36</v>
          </cell>
          <cell r="J105">
            <v>0.76</v>
          </cell>
          <cell r="K105">
            <v>47.393599999999999</v>
          </cell>
          <cell r="L105" t="str">
            <v>?</v>
          </cell>
          <cell r="M105">
            <v>1.06</v>
          </cell>
          <cell r="N105">
            <v>1.17</v>
          </cell>
          <cell r="O105" t="e">
            <v>#VALUE!</v>
          </cell>
        </row>
        <row r="106">
          <cell r="A106">
            <v>64</v>
          </cell>
          <cell r="B106">
            <v>5</v>
          </cell>
          <cell r="C106" t="str">
            <v>Marco Metalico Sencillo con Chambrana marca Timely/Rediframe calibre 18 para muro de Tablaroca de 5 1/2" preparacion Estandar y Refuerzo para Cierrapuertas, Medidas :</v>
          </cell>
          <cell r="D106" t="str">
            <v>3'0" x 7'0"</v>
          </cell>
          <cell r="E106" t="str">
            <v>53C3070-18G-1-3/4-CR</v>
          </cell>
          <cell r="F106" t="str">
            <v>Timely/Rediframe</v>
          </cell>
          <cell r="G106" t="str">
            <v>Color Ivory</v>
          </cell>
          <cell r="H106" t="str">
            <v>Timely</v>
          </cell>
          <cell r="I106">
            <v>88.219999999999985</v>
          </cell>
          <cell r="J106">
            <v>0.84</v>
          </cell>
          <cell r="K106">
            <v>74.104799999999983</v>
          </cell>
          <cell r="L106" t="str">
            <v>?</v>
          </cell>
          <cell r="M106">
            <v>1.06</v>
          </cell>
          <cell r="N106">
            <v>1.17</v>
          </cell>
          <cell r="O106" t="e">
            <v>#VALUE!</v>
          </cell>
        </row>
        <row r="107">
          <cell r="A107">
            <v>65</v>
          </cell>
          <cell r="B107">
            <v>5</v>
          </cell>
          <cell r="C107" t="str">
            <v>Marco Metalico Sencillo con Chambrana marca Timely/Rediframe calibre 18 para muro de Tablaroca de 5 1/2" preparacion Estandar y Refuerzo para Cierrapuertas, Medidas :</v>
          </cell>
          <cell r="D107" t="str">
            <v>3'0" x 7'0"</v>
          </cell>
          <cell r="E107" t="str">
            <v>53C4070-18G-1-3/4-CR</v>
          </cell>
          <cell r="F107" t="str">
            <v>Timely/Rediframe</v>
          </cell>
          <cell r="G107" t="str">
            <v>Color Ivory</v>
          </cell>
          <cell r="H107" t="str">
            <v>Timely</v>
          </cell>
          <cell r="I107">
            <v>88.219999999999985</v>
          </cell>
          <cell r="J107">
            <v>0.84</v>
          </cell>
          <cell r="K107">
            <v>74.104799999999983</v>
          </cell>
          <cell r="L107" t="str">
            <v>?</v>
          </cell>
          <cell r="M107">
            <v>1.06</v>
          </cell>
          <cell r="N107">
            <v>1.17</v>
          </cell>
          <cell r="O107" t="e">
            <v>#VALUE!</v>
          </cell>
        </row>
        <row r="108">
          <cell r="A108">
            <v>66</v>
          </cell>
          <cell r="B108">
            <v>5</v>
          </cell>
          <cell r="C108" t="str">
            <v>Marco Metalico Doble con Chambrana marca Timely/rediframe calibre 18 para muro de Tablaroca de 5 1/2" preparacion Estandar y Refuerzo para Cierrapuertas, Medidas :</v>
          </cell>
          <cell r="D108" t="str">
            <v>3'0" x 7'0"</v>
          </cell>
          <cell r="E108" t="str">
            <v>53C6070-18G-1-3/4-CR</v>
          </cell>
          <cell r="F108" t="str">
            <v>Timely/Rediframe</v>
          </cell>
          <cell r="G108" t="str">
            <v>Color Ivory</v>
          </cell>
          <cell r="H108" t="str">
            <v>Timely</v>
          </cell>
          <cell r="I108">
            <v>107.44</v>
          </cell>
          <cell r="J108">
            <v>0.84</v>
          </cell>
          <cell r="K108">
            <v>90.249600000000001</v>
          </cell>
          <cell r="L108" t="str">
            <v>?</v>
          </cell>
          <cell r="M108">
            <v>1.06</v>
          </cell>
          <cell r="N108">
            <v>1.17</v>
          </cell>
          <cell r="O108" t="e">
            <v>#VALUE!</v>
          </cell>
        </row>
        <row r="109">
          <cell r="A109">
            <v>67</v>
          </cell>
          <cell r="B109">
            <v>5</v>
          </cell>
          <cell r="C109" t="str">
            <v>Marco Metalico de Intercomunicacion con Chambrana marca Timely/rediframe calibre 18 para muro de Tablaroca de 5 1/2" preparacion estandar , Medidas :</v>
          </cell>
          <cell r="D109" t="str">
            <v>3'0" x 7'0"</v>
          </cell>
          <cell r="E109" t="str">
            <v>53C3070-18G-1-3/4-COM</v>
          </cell>
          <cell r="F109" t="str">
            <v>Timely/Rediframe</v>
          </cell>
          <cell r="G109" t="str">
            <v>Color Ivory</v>
          </cell>
          <cell r="H109" t="str">
            <v>Timely</v>
          </cell>
          <cell r="I109">
            <v>96.949999999999989</v>
          </cell>
          <cell r="J109">
            <v>0.84</v>
          </cell>
          <cell r="K109">
            <v>81.437999999999988</v>
          </cell>
          <cell r="L109" t="str">
            <v>?</v>
          </cell>
          <cell r="M109">
            <v>1.06</v>
          </cell>
          <cell r="N109">
            <v>1.17</v>
          </cell>
          <cell r="O109" t="e">
            <v>#VALUE!</v>
          </cell>
        </row>
        <row r="110">
          <cell r="A110">
            <v>68</v>
          </cell>
          <cell r="B110">
            <v>5</v>
          </cell>
          <cell r="C110" t="str">
            <v>Marco Metalico Sencillo con Chambrana marca Timely/rediframe calibre 20 para muro de Tablaroca de 3 3/4" preparacion estandar, Medidas :</v>
          </cell>
          <cell r="D110" t="str">
            <v>3'0" x 7'0"</v>
          </cell>
          <cell r="E110" t="str">
            <v>36S3070-20G-1-3/8</v>
          </cell>
          <cell r="F110" t="str">
            <v>Timely/Rediframe</v>
          </cell>
          <cell r="G110" t="str">
            <v>Color Ivory</v>
          </cell>
          <cell r="H110" t="str">
            <v>Timely</v>
          </cell>
          <cell r="I110">
            <v>67.209999999999994</v>
          </cell>
          <cell r="J110">
            <v>0.84</v>
          </cell>
          <cell r="K110">
            <v>56.456399999999995</v>
          </cell>
          <cell r="L110" t="str">
            <v>?</v>
          </cell>
          <cell r="M110">
            <v>1.06</v>
          </cell>
          <cell r="N110">
            <v>1.17</v>
          </cell>
          <cell r="O110" t="e">
            <v>#VALUE!</v>
          </cell>
        </row>
        <row r="111">
          <cell r="A111">
            <v>69</v>
          </cell>
          <cell r="B111">
            <v>5</v>
          </cell>
          <cell r="C111" t="str">
            <v>Marco Metalico Sencillo con Chambrana marca Timely/Rediframe calibre 20 para muro de Tablaroca de 3 3/4" preparacion estandar , Medidas :</v>
          </cell>
          <cell r="D111" t="str">
            <v>2'8" x 7'0"</v>
          </cell>
          <cell r="E111" t="str">
            <v>36S2870-20G-1-3/8</v>
          </cell>
          <cell r="F111" t="str">
            <v>Timely/Rediframe</v>
          </cell>
          <cell r="G111" t="str">
            <v>Color Ivory</v>
          </cell>
          <cell r="H111" t="str">
            <v>Timely</v>
          </cell>
          <cell r="I111">
            <v>67.209999999999994</v>
          </cell>
          <cell r="J111">
            <v>0.84</v>
          </cell>
          <cell r="K111">
            <v>56.456399999999995</v>
          </cell>
          <cell r="L111" t="str">
            <v>?</v>
          </cell>
          <cell r="M111">
            <v>1.06</v>
          </cell>
          <cell r="N111">
            <v>1.17</v>
          </cell>
          <cell r="O111" t="e">
            <v>#VALUE!</v>
          </cell>
        </row>
        <row r="112">
          <cell r="C112" t="str">
            <v>MARCOS STEELCRAFT</v>
          </cell>
        </row>
        <row r="113">
          <cell r="A113">
            <v>70</v>
          </cell>
          <cell r="B113">
            <v>6</v>
          </cell>
          <cell r="C113" t="str">
            <v xml:space="preserve">Marco Metalico Sencillo de Abrazar marca Steelcraft, calibre 16 para muro de Tablaroca de 5 5/8" preparacion estandar, Medidas : </v>
          </cell>
          <cell r="D113" t="str">
            <v>3'0" x 6'8"</v>
          </cell>
          <cell r="E113" t="str">
            <v>DW16-3068-5-5/8</v>
          </cell>
          <cell r="F113" t="e">
            <v>#N/A</v>
          </cell>
          <cell r="G113" t="e">
            <v>#N/A</v>
          </cell>
          <cell r="H113" t="e">
            <v>#N/A</v>
          </cell>
          <cell r="I113">
            <v>116</v>
          </cell>
          <cell r="J113">
            <v>0.46</v>
          </cell>
          <cell r="K113">
            <v>53.36</v>
          </cell>
          <cell r="L113" t="str">
            <v>?</v>
          </cell>
          <cell r="M113" t="e">
            <v>#N/A</v>
          </cell>
          <cell r="N113" t="e">
            <v>#N/A</v>
          </cell>
          <cell r="O113" t="e">
            <v>#VALUE!</v>
          </cell>
        </row>
        <row r="114">
          <cell r="A114" t="str">
            <v>70a</v>
          </cell>
          <cell r="B114">
            <v>6</v>
          </cell>
          <cell r="C114" t="str">
            <v xml:space="preserve">Marco Metalico Sencillo de Abrazar marca Steelcraft, calibre 16 para muro de Tablaroca de 5 5/8" preparacion estandar, Medidas : </v>
          </cell>
          <cell r="D114" t="e">
            <v>#N/A</v>
          </cell>
          <cell r="E114" t="str">
            <v>DW16-2868-5-5/8</v>
          </cell>
          <cell r="F114" t="e">
            <v>#N/A</v>
          </cell>
          <cell r="G114" t="e">
            <v>#N/A</v>
          </cell>
          <cell r="H114" t="e">
            <v>#N/A</v>
          </cell>
          <cell r="I114">
            <v>133</v>
          </cell>
          <cell r="J114">
            <v>0.46</v>
          </cell>
          <cell r="K114">
            <v>61.18</v>
          </cell>
          <cell r="L114" t="str">
            <v>?</v>
          </cell>
          <cell r="M114" t="e">
            <v>#N/A</v>
          </cell>
          <cell r="N114" t="e">
            <v>#N/A</v>
          </cell>
          <cell r="O114" t="e">
            <v>#VALUE!</v>
          </cell>
        </row>
        <row r="115">
          <cell r="A115">
            <v>71</v>
          </cell>
          <cell r="B115">
            <v>6</v>
          </cell>
          <cell r="C115" t="str">
            <v>Marco Metalico Sencillo de Abrazar marca Steelcraft, calibre 16 para muro de Tablaroca de 5 5/8" preparacion Estandar y Refuerzo para Cierrapuertas, Medidas :</v>
          </cell>
          <cell r="D115" t="str">
            <v>3'0" x 6'8"</v>
          </cell>
          <cell r="E115" t="str">
            <v>DW16-3068-5-5/8-CR</v>
          </cell>
          <cell r="F115" t="e">
            <v>#N/A</v>
          </cell>
          <cell r="G115" t="e">
            <v>#N/A</v>
          </cell>
          <cell r="H115" t="e">
            <v>#N/A</v>
          </cell>
          <cell r="I115">
            <v>124</v>
          </cell>
          <cell r="J115">
            <v>0.46</v>
          </cell>
          <cell r="K115">
            <v>57.04</v>
          </cell>
          <cell r="L115" t="str">
            <v>?</v>
          </cell>
          <cell r="M115" t="e">
            <v>#N/A</v>
          </cell>
          <cell r="N115" t="e">
            <v>#N/A</v>
          </cell>
          <cell r="O115" t="e">
            <v>#VALUE!</v>
          </cell>
        </row>
        <row r="116">
          <cell r="A116">
            <v>72</v>
          </cell>
          <cell r="B116">
            <v>6</v>
          </cell>
          <cell r="C116" t="str">
            <v>Marco Metalico Sencillo de Abrazar marca Steelcraft, calibre 16 para muro de Tablaroca de 5 5/8" preparacion Estandar y Refuerzo para Cierrapuertas, Medidas :</v>
          </cell>
          <cell r="D116" t="str">
            <v>4'0" x 6'8"</v>
          </cell>
          <cell r="E116" t="str">
            <v>DW16-4068-5-5/8-CR</v>
          </cell>
          <cell r="F116" t="e">
            <v>#N/A</v>
          </cell>
          <cell r="G116" t="e">
            <v>#N/A</v>
          </cell>
          <cell r="H116" t="e">
            <v>#N/A</v>
          </cell>
          <cell r="I116">
            <v>128</v>
          </cell>
          <cell r="J116">
            <v>0.46</v>
          </cell>
          <cell r="K116">
            <v>58.88</v>
          </cell>
          <cell r="L116" t="str">
            <v>?</v>
          </cell>
          <cell r="M116" t="e">
            <v>#N/A</v>
          </cell>
          <cell r="N116" t="e">
            <v>#N/A</v>
          </cell>
          <cell r="O116" t="e">
            <v>#VALUE!</v>
          </cell>
        </row>
        <row r="117">
          <cell r="A117">
            <v>73</v>
          </cell>
          <cell r="B117">
            <v>6</v>
          </cell>
          <cell r="C117" t="str">
            <v>Marco Metalico Doble de Abrazar marca Steelcraft, calibre 16 para muro de Tablaroca de 5 5/8" preparacion Estandar y Refuerzo para Cierrapuertas, Medidas :</v>
          </cell>
          <cell r="D117" t="str">
            <v>6'0" x 6'8"</v>
          </cell>
          <cell r="E117" t="str">
            <v>DW16-6068-5-5/8-CR</v>
          </cell>
          <cell r="F117" t="e">
            <v>#N/A</v>
          </cell>
          <cell r="G117" t="e">
            <v>#N/A</v>
          </cell>
          <cell r="H117" t="e">
            <v>#N/A</v>
          </cell>
          <cell r="I117">
            <v>158</v>
          </cell>
          <cell r="J117">
            <v>0.46</v>
          </cell>
          <cell r="K117">
            <v>72.680000000000007</v>
          </cell>
          <cell r="L117" t="str">
            <v>?</v>
          </cell>
          <cell r="M117" t="e">
            <v>#N/A</v>
          </cell>
          <cell r="N117" t="e">
            <v>#N/A</v>
          </cell>
          <cell r="O117" t="e">
            <v>#VALUE!</v>
          </cell>
        </row>
        <row r="118">
          <cell r="A118">
            <v>74</v>
          </cell>
          <cell r="B118">
            <v>6</v>
          </cell>
          <cell r="C118" t="str">
            <v>Marco Metalico de Intercomunicacion de Abrazar marca Steelcraft, calibre 16 para muro de Tablaroca de 8 1/8" preparacion estandar , Medidas :</v>
          </cell>
          <cell r="D118" t="str">
            <v>3'0" x 6'8"</v>
          </cell>
          <cell r="E118" t="str">
            <v>DW16-3068-8-1/8-COM</v>
          </cell>
          <cell r="F118" t="e">
            <v>#N/A</v>
          </cell>
          <cell r="G118" t="e">
            <v>#N/A</v>
          </cell>
          <cell r="H118" t="e">
            <v>#N/A</v>
          </cell>
          <cell r="I118">
            <v>276</v>
          </cell>
          <cell r="J118">
            <v>0.46</v>
          </cell>
          <cell r="K118">
            <v>126.96000000000001</v>
          </cell>
          <cell r="L118" t="str">
            <v>?</v>
          </cell>
          <cell r="M118" t="e">
            <v>#N/A</v>
          </cell>
          <cell r="N118" t="e">
            <v>#N/A</v>
          </cell>
          <cell r="O118" t="e">
            <v>#VALUE!</v>
          </cell>
        </row>
        <row r="119">
          <cell r="A119">
            <v>75</v>
          </cell>
          <cell r="B119">
            <v>6</v>
          </cell>
          <cell r="C119" t="str">
            <v>Marco Metalico Sencillo de Abrazar marca Steelcraft, calibre 16 para muro de Tablaroca de 4 1/2" preparacion estandar , Medidas :</v>
          </cell>
          <cell r="D119" t="e">
            <v>#N/A</v>
          </cell>
          <cell r="E119" t="str">
            <v>DW16-2868-4-1/2</v>
          </cell>
          <cell r="F119" t="e">
            <v>#N/A</v>
          </cell>
          <cell r="G119" t="e">
            <v>#N/A</v>
          </cell>
          <cell r="H119" t="e">
            <v>#N/A</v>
          </cell>
          <cell r="I119">
            <v>118</v>
          </cell>
          <cell r="J119">
            <v>0.46</v>
          </cell>
          <cell r="K119">
            <v>54.28</v>
          </cell>
          <cell r="L119" t="str">
            <v>?</v>
          </cell>
          <cell r="M119" t="e">
            <v>#N/A</v>
          </cell>
          <cell r="N119" t="e">
            <v>#N/A</v>
          </cell>
          <cell r="O119" t="e">
            <v>#VALUE!</v>
          </cell>
        </row>
        <row r="120">
          <cell r="A120">
            <v>76</v>
          </cell>
          <cell r="B120">
            <v>6</v>
          </cell>
          <cell r="C120" t="str">
            <v xml:space="preserve">Marco Metalico Sencillo de Abrazar marca Steelcraft, calibre 16 para muro de Tablaroca de 4 1/2" preparacion estandar </v>
          </cell>
          <cell r="D120" t="str">
            <v>2'6" x 6'8"</v>
          </cell>
          <cell r="E120" t="str">
            <v>DW16-2668-4-1/2</v>
          </cell>
          <cell r="F120" t="e">
            <v>#N/A</v>
          </cell>
          <cell r="G120" t="e">
            <v>#N/A</v>
          </cell>
          <cell r="H120" t="e">
            <v>#N/A</v>
          </cell>
          <cell r="I120">
            <v>118</v>
          </cell>
          <cell r="J120">
            <v>0.46</v>
          </cell>
          <cell r="K120">
            <v>54.28</v>
          </cell>
          <cell r="L120" t="str">
            <v>?</v>
          </cell>
          <cell r="M120" t="e">
            <v>#N/A</v>
          </cell>
          <cell r="N120" t="e">
            <v>#N/A</v>
          </cell>
          <cell r="O120" t="e">
            <v>#VALUE!</v>
          </cell>
        </row>
        <row r="122">
          <cell r="A122">
            <v>77</v>
          </cell>
          <cell r="B122">
            <v>6</v>
          </cell>
          <cell r="C122" t="str">
            <v xml:space="preserve">Marco Metalico Sencillo de Abrazar marca Steelcraft, calibre 16 para muro de Tablaroca de 5 5/8" preparacion estandar, Medidas : </v>
          </cell>
          <cell r="D122" t="str">
            <v>3'0" x 7'0"</v>
          </cell>
          <cell r="E122" t="str">
            <v>DW16-3070-5-5/8</v>
          </cell>
          <cell r="F122" t="e">
            <v>#N/A</v>
          </cell>
          <cell r="G122" t="e">
            <v>#N/A</v>
          </cell>
          <cell r="H122" t="e">
            <v>#N/A</v>
          </cell>
          <cell r="I122">
            <v>124</v>
          </cell>
          <cell r="J122">
            <v>0.46</v>
          </cell>
          <cell r="K122">
            <v>57.04</v>
          </cell>
          <cell r="L122" t="str">
            <v>?</v>
          </cell>
          <cell r="M122" t="e">
            <v>#N/A</v>
          </cell>
          <cell r="N122" t="e">
            <v>#N/A</v>
          </cell>
          <cell r="O122" t="e">
            <v>#VALUE!</v>
          </cell>
        </row>
        <row r="123">
          <cell r="A123">
            <v>78</v>
          </cell>
          <cell r="B123">
            <v>6</v>
          </cell>
          <cell r="C123" t="str">
            <v>Marco Metalico Sencillo de Abrazar marca Steelcraft, calibre 16 para muro de Tablaroca de 5 5/8" preparacion Estandar y Refuerzo para Cierrapuertas, Medidas :</v>
          </cell>
          <cell r="D123" t="str">
            <v>3'0" x 7'0"</v>
          </cell>
          <cell r="E123" t="str">
            <v>DW16-3070-5-5/8-CR</v>
          </cell>
          <cell r="F123" t="e">
            <v>#N/A</v>
          </cell>
          <cell r="G123" t="e">
            <v>#N/A</v>
          </cell>
          <cell r="H123" t="e">
            <v>#N/A</v>
          </cell>
          <cell r="I123">
            <v>132</v>
          </cell>
          <cell r="J123">
            <v>0.46</v>
          </cell>
          <cell r="K123">
            <v>60.720000000000006</v>
          </cell>
          <cell r="L123" t="str">
            <v>?</v>
          </cell>
          <cell r="M123" t="e">
            <v>#N/A</v>
          </cell>
          <cell r="N123" t="e">
            <v>#N/A</v>
          </cell>
          <cell r="O123" t="e">
            <v>#VALUE!</v>
          </cell>
        </row>
        <row r="124">
          <cell r="A124">
            <v>79</v>
          </cell>
          <cell r="B124">
            <v>6</v>
          </cell>
          <cell r="C124" t="str">
            <v>Marco Metalico Sencillo de Abrazar marca Steelcraft, calibre 16 para muro de Tablaroca de 5 5/8" preparacion Estandar y Refuerzo para Cierrapuertas, Medidas :</v>
          </cell>
          <cell r="D124" t="str">
            <v>4'0" x 7'0"</v>
          </cell>
          <cell r="E124" t="str">
            <v>DW16-4070-5-5/8-CR</v>
          </cell>
          <cell r="F124" t="e">
            <v>#N/A</v>
          </cell>
          <cell r="G124" t="e">
            <v>#N/A</v>
          </cell>
          <cell r="H124" t="e">
            <v>#N/A</v>
          </cell>
          <cell r="I124">
            <v>136</v>
          </cell>
          <cell r="J124">
            <v>0.46</v>
          </cell>
          <cell r="K124">
            <v>62.56</v>
          </cell>
          <cell r="L124" t="str">
            <v>?</v>
          </cell>
          <cell r="M124" t="e">
            <v>#N/A</v>
          </cell>
          <cell r="N124" t="e">
            <v>#N/A</v>
          </cell>
          <cell r="O124" t="e">
            <v>#VALUE!</v>
          </cell>
        </row>
        <row r="125">
          <cell r="A125">
            <v>80</v>
          </cell>
          <cell r="B125">
            <v>6</v>
          </cell>
          <cell r="C125" t="str">
            <v>Marco Metalico Doble de Abrazar marca Steelcraft, calibre 16 para muro de Tablaroca de 5 5/8" preparacion Estandar y Refuerzo para Cierrapuertas, Medidas :</v>
          </cell>
          <cell r="D125" t="e">
            <v>#N/A</v>
          </cell>
          <cell r="E125" t="str">
            <v>DW16-6070-5-5/8-CR</v>
          </cell>
          <cell r="F125" t="e">
            <v>#N/A</v>
          </cell>
          <cell r="G125" t="e">
            <v>#N/A</v>
          </cell>
          <cell r="H125" t="e">
            <v>#N/A</v>
          </cell>
          <cell r="I125">
            <v>166</v>
          </cell>
          <cell r="J125">
            <v>0.46</v>
          </cell>
          <cell r="K125">
            <v>76.36</v>
          </cell>
          <cell r="L125" t="str">
            <v>?</v>
          </cell>
          <cell r="M125" t="e">
            <v>#N/A</v>
          </cell>
          <cell r="N125" t="e">
            <v>#N/A</v>
          </cell>
          <cell r="O125" t="e">
            <v>#VALUE!</v>
          </cell>
        </row>
        <row r="126">
          <cell r="A126" t="str">
            <v>80-A</v>
          </cell>
          <cell r="B126">
            <v>6</v>
          </cell>
          <cell r="C126" t="str">
            <v>Marco Metalico Doble de Abrazar marca Steelcraft, calibre 16 para muro de Tablaroca de 5 5/8" preparacion Estandar y Refuerzo para Cierrapuertas, Medidas :</v>
          </cell>
          <cell r="D126" t="str">
            <v>4'0" x 7'0"</v>
          </cell>
          <cell r="E126" t="str">
            <v>DW16-4070-5-5/8-CR</v>
          </cell>
          <cell r="F126" t="e">
            <v>#N/A</v>
          </cell>
          <cell r="G126" t="e">
            <v>#N/A</v>
          </cell>
          <cell r="H126" t="e">
            <v>#N/A</v>
          </cell>
          <cell r="I126">
            <v>183</v>
          </cell>
          <cell r="J126">
            <v>0.46</v>
          </cell>
          <cell r="K126">
            <v>84.18</v>
          </cell>
          <cell r="L126" t="str">
            <v>?</v>
          </cell>
          <cell r="M126" t="e">
            <v>#N/A</v>
          </cell>
          <cell r="N126" t="e">
            <v>#N/A</v>
          </cell>
          <cell r="O126" t="e">
            <v>#VALUE!</v>
          </cell>
        </row>
        <row r="127">
          <cell r="A127">
            <v>81</v>
          </cell>
          <cell r="B127">
            <v>6</v>
          </cell>
          <cell r="C127" t="str">
            <v xml:space="preserve">Marco Metalico de Intercomunicacion de Abrazar marca Steelcraft, calibre 16 para muro de Tablaroca de 8 3/4" preparacion estandar, Medidas : </v>
          </cell>
          <cell r="D127" t="str">
            <v>3'0" x 7'0"</v>
          </cell>
          <cell r="E127" t="str">
            <v>DW16-3070-8-3/4-COM</v>
          </cell>
          <cell r="F127" t="e">
            <v>#N/A</v>
          </cell>
          <cell r="G127" t="e">
            <v>#N/A</v>
          </cell>
          <cell r="H127" t="e">
            <v>#N/A</v>
          </cell>
          <cell r="I127">
            <v>284</v>
          </cell>
          <cell r="J127">
            <v>0.46</v>
          </cell>
          <cell r="K127">
            <v>130.64000000000001</v>
          </cell>
          <cell r="L127" t="str">
            <v>?</v>
          </cell>
          <cell r="M127" t="e">
            <v>#N/A</v>
          </cell>
          <cell r="N127" t="e">
            <v>#N/A</v>
          </cell>
          <cell r="O127" t="e">
            <v>#VALUE!</v>
          </cell>
        </row>
        <row r="128">
          <cell r="A128">
            <v>82</v>
          </cell>
          <cell r="B128">
            <v>6</v>
          </cell>
          <cell r="C128" t="str">
            <v>Marco Metalico Sencillo de Abrazar marca Steelcraft, calibre 16 para muro de Tablaroca de 4 1/2" preparacion estandar , Medidas :</v>
          </cell>
          <cell r="D128" t="str">
            <v>2'8" x 7'0"</v>
          </cell>
          <cell r="E128" t="str">
            <v>DW16-2870-4-1/2</v>
          </cell>
          <cell r="F128" t="e">
            <v>#N/A</v>
          </cell>
          <cell r="G128" t="e">
            <v>#N/A</v>
          </cell>
          <cell r="H128" t="e">
            <v>#N/A</v>
          </cell>
          <cell r="I128">
            <v>126</v>
          </cell>
          <cell r="J128">
            <v>0.46</v>
          </cell>
          <cell r="K128">
            <v>57.96</v>
          </cell>
          <cell r="L128" t="str">
            <v>?</v>
          </cell>
          <cell r="M128" t="e">
            <v>#N/A</v>
          </cell>
          <cell r="N128" t="e">
            <v>#N/A</v>
          </cell>
          <cell r="O128" t="e">
            <v>#VALUE!</v>
          </cell>
        </row>
        <row r="129">
          <cell r="A129">
            <v>83</v>
          </cell>
          <cell r="B129">
            <v>6</v>
          </cell>
          <cell r="C129" t="str">
            <v>Marco Metalico Sencillo de Abrazar marca Steelcraft, calibre 16 para muro de Tablaroca de 4 1/2" preparacion estandar , Medidas :</v>
          </cell>
          <cell r="D129" t="str">
            <v>2'6" x 7'0"</v>
          </cell>
          <cell r="E129" t="str">
            <v>DW16-2670-4-1/2</v>
          </cell>
          <cell r="F129" t="e">
            <v>#N/A</v>
          </cell>
          <cell r="G129" t="e">
            <v>#N/A</v>
          </cell>
          <cell r="H129" t="e">
            <v>#N/A</v>
          </cell>
          <cell r="I129">
            <v>126</v>
          </cell>
          <cell r="J129">
            <v>0.46</v>
          </cell>
          <cell r="K129">
            <v>57.96</v>
          </cell>
          <cell r="L129" t="str">
            <v>?</v>
          </cell>
          <cell r="M129" t="e">
            <v>#N/A</v>
          </cell>
          <cell r="N129" t="e">
            <v>#N/A</v>
          </cell>
          <cell r="O129" t="e">
            <v>#VALUE!</v>
          </cell>
        </row>
        <row r="131">
          <cell r="A131">
            <v>84</v>
          </cell>
          <cell r="B131">
            <v>6</v>
          </cell>
          <cell r="C131" t="str">
            <v xml:space="preserve">Marco Metalico Sencillo de Sobreponer marca Steelcraft, calibre 16 para muro de Block de 5 3/4" preparacion estandar, Medidas : </v>
          </cell>
          <cell r="D131" t="str">
            <v>3'0" x 6'8"</v>
          </cell>
          <cell r="E131" t="str">
            <v>F16-3068-5-3/4</v>
          </cell>
          <cell r="F131" t="e">
            <v>#N/A</v>
          </cell>
          <cell r="G131" t="e">
            <v>#N/A</v>
          </cell>
          <cell r="H131" t="e">
            <v>#N/A</v>
          </cell>
          <cell r="I131">
            <v>136</v>
          </cell>
          <cell r="J131">
            <v>0.46</v>
          </cell>
          <cell r="K131">
            <v>62.56</v>
          </cell>
          <cell r="L131" t="str">
            <v>?</v>
          </cell>
          <cell r="M131" t="e">
            <v>#N/A</v>
          </cell>
          <cell r="N131" t="e">
            <v>#N/A</v>
          </cell>
          <cell r="O131" t="e">
            <v>#VALUE!</v>
          </cell>
        </row>
        <row r="132">
          <cell r="A132">
            <v>85</v>
          </cell>
          <cell r="B132">
            <v>6</v>
          </cell>
          <cell r="C132" t="e">
            <v>#N/A</v>
          </cell>
          <cell r="D132" t="str">
            <v>3'0" x 6'8"</v>
          </cell>
          <cell r="E132" t="e">
            <v>#N/A</v>
          </cell>
          <cell r="F132" t="e">
            <v>#N/A</v>
          </cell>
          <cell r="G132" t="e">
            <v>#N/A</v>
          </cell>
          <cell r="H132" t="e">
            <v>#N/A</v>
          </cell>
          <cell r="I132">
            <v>161</v>
          </cell>
          <cell r="J132">
            <v>0.46</v>
          </cell>
          <cell r="K132">
            <v>74.06</v>
          </cell>
          <cell r="L132" t="str">
            <v>?</v>
          </cell>
          <cell r="M132" t="e">
            <v>#N/A</v>
          </cell>
          <cell r="N132" t="e">
            <v>#N/A</v>
          </cell>
          <cell r="O132" t="e">
            <v>#VALUE!</v>
          </cell>
        </row>
        <row r="133">
          <cell r="A133">
            <v>86</v>
          </cell>
          <cell r="B133">
            <v>6</v>
          </cell>
          <cell r="C133" t="str">
            <v>Marco Metalico Sencillo de Sobreponer Galvanizado marca Steelcraft, calibre 16 para muro de Block de 5 3/4" preparacion Estandar y Refuerzo para Cierrapuertas, Medidas :</v>
          </cell>
          <cell r="D133" t="str">
            <v>4'0" x 6'8"</v>
          </cell>
          <cell r="E133" t="str">
            <v>F16-4068-5-3/4-CR</v>
          </cell>
          <cell r="F133" t="e">
            <v>#N/A</v>
          </cell>
          <cell r="G133" t="e">
            <v>#N/A</v>
          </cell>
          <cell r="H133" t="e">
            <v>#N/A</v>
          </cell>
          <cell r="I133">
            <v>167</v>
          </cell>
          <cell r="J133">
            <v>0.46</v>
          </cell>
          <cell r="K133">
            <v>76.820000000000007</v>
          </cell>
          <cell r="L133" t="str">
            <v>?</v>
          </cell>
          <cell r="M133" t="e">
            <v>#N/A</v>
          </cell>
          <cell r="N133" t="e">
            <v>#N/A</v>
          </cell>
          <cell r="O133" t="e">
            <v>#VALUE!</v>
          </cell>
        </row>
        <row r="134">
          <cell r="A134" t="str">
            <v>86A</v>
          </cell>
          <cell r="B134">
            <v>6</v>
          </cell>
          <cell r="C134" t="str">
            <v>Marco Metalico Sencillo de Sobreponer Galvanizado marca Steelcraft, calibre 16 para muro de Block de 5 3/4" preparacion Estandar y Refuerzo para Cierrapuertas, Medidas :</v>
          </cell>
          <cell r="D134" t="str">
            <v>3'4" x 6'8"</v>
          </cell>
          <cell r="E134" t="str">
            <v>F16-3468-5-3/4-CR</v>
          </cell>
          <cell r="F134" t="e">
            <v>#N/A</v>
          </cell>
          <cell r="G134" t="e">
            <v>#N/A</v>
          </cell>
          <cell r="H134" t="e">
            <v>#N/A</v>
          </cell>
          <cell r="I134">
            <v>167</v>
          </cell>
          <cell r="J134">
            <v>0.46</v>
          </cell>
          <cell r="K134">
            <v>76.820000000000007</v>
          </cell>
          <cell r="L134" t="str">
            <v>?</v>
          </cell>
          <cell r="M134" t="e">
            <v>#N/A</v>
          </cell>
          <cell r="N134" t="e">
            <v>#N/A</v>
          </cell>
          <cell r="O134" t="e">
            <v>#VALUE!</v>
          </cell>
        </row>
        <row r="135">
          <cell r="A135">
            <v>87</v>
          </cell>
          <cell r="B135">
            <v>6</v>
          </cell>
          <cell r="C135" t="str">
            <v>Marco Metalico Doble de Sobreponer marca Steelcraft, calibre 16 para muro de Block de 5 3/4" preparacion Estandar y Refuerzo para Cierrapuertas, Medidas :</v>
          </cell>
          <cell r="D135" t="str">
            <v>6'0" x 6'8"</v>
          </cell>
          <cell r="E135" t="str">
            <v>F16-6068-5-3/4-CR</v>
          </cell>
          <cell r="F135" t="e">
            <v>#N/A</v>
          </cell>
          <cell r="G135" t="e">
            <v>#N/A</v>
          </cell>
          <cell r="H135" t="e">
            <v>#N/A</v>
          </cell>
          <cell r="I135">
            <v>185</v>
          </cell>
          <cell r="J135">
            <v>0.46</v>
          </cell>
          <cell r="K135">
            <v>85.100000000000009</v>
          </cell>
          <cell r="L135" t="str">
            <v>?</v>
          </cell>
          <cell r="M135" t="e">
            <v>#N/A</v>
          </cell>
          <cell r="N135" t="e">
            <v>#N/A</v>
          </cell>
          <cell r="O135" t="e">
            <v>#VALUE!</v>
          </cell>
        </row>
        <row r="136">
          <cell r="A136" t="str">
            <v>87-A</v>
          </cell>
          <cell r="B136">
            <v>6</v>
          </cell>
          <cell r="C136" t="str">
            <v>Marco Metalico Doble de Sobreponer Galvanizado marca Steelcraft, calibre 16 para muro de Block de 5 3/4" preparacion Estandar y Refuerzo para Cierrapuertas, Medidas :</v>
          </cell>
          <cell r="D136" t="str">
            <v>5'8" x 6'8"</v>
          </cell>
          <cell r="E136" t="str">
            <v>F16-5868-5-3/4-CR-GALV</v>
          </cell>
          <cell r="F136" t="e">
            <v>#N/A</v>
          </cell>
          <cell r="G136" t="e">
            <v>#N/A</v>
          </cell>
          <cell r="H136" t="e">
            <v>#N/A</v>
          </cell>
          <cell r="I136">
            <v>202</v>
          </cell>
          <cell r="J136">
            <v>0.46</v>
          </cell>
          <cell r="K136">
            <v>92.92</v>
          </cell>
          <cell r="L136" t="str">
            <v>?</v>
          </cell>
          <cell r="M136" t="e">
            <v>#N/A</v>
          </cell>
          <cell r="N136" t="e">
            <v>#N/A</v>
          </cell>
          <cell r="O136" t="e">
            <v>#VALUE!</v>
          </cell>
        </row>
        <row r="137">
          <cell r="A137">
            <v>88</v>
          </cell>
          <cell r="B137">
            <v>6</v>
          </cell>
          <cell r="C137" t="str">
            <v xml:space="preserve">Marco Metalico de Intercomunicacion de Sobreponer marca Steelcraft, calibre 16 para muro de Block de 8 3/4" preparacion estandar, Medidas : </v>
          </cell>
          <cell r="D137" t="str">
            <v>3'0" x 6'8"</v>
          </cell>
          <cell r="E137" t="str">
            <v>F16-3068-8-3/4-COM</v>
          </cell>
          <cell r="F137" t="e">
            <v>#N/A</v>
          </cell>
          <cell r="G137" t="e">
            <v>#N/A</v>
          </cell>
          <cell r="H137" t="e">
            <v>#N/A</v>
          </cell>
          <cell r="I137">
            <v>198</v>
          </cell>
          <cell r="J137">
            <v>0.46</v>
          </cell>
          <cell r="K137">
            <v>91.08</v>
          </cell>
          <cell r="L137" t="str">
            <v>?</v>
          </cell>
          <cell r="M137" t="e">
            <v>#N/A</v>
          </cell>
          <cell r="N137" t="e">
            <v>#N/A</v>
          </cell>
          <cell r="O137" t="e">
            <v>#VALUE!</v>
          </cell>
        </row>
        <row r="138">
          <cell r="A138">
            <v>89</v>
          </cell>
          <cell r="B138">
            <v>6</v>
          </cell>
          <cell r="C138" t="str">
            <v xml:space="preserve">Marco Metalico Sencillo de Sobreponer marca Steelcraft, calibre 16 para muro de Block de 5 3/4" preparacion estandar, Medidas : </v>
          </cell>
          <cell r="D138" t="e">
            <v>#N/A</v>
          </cell>
          <cell r="E138" t="str">
            <v>F16-2868-5-3/4</v>
          </cell>
          <cell r="F138" t="e">
            <v>#N/A</v>
          </cell>
          <cell r="G138" t="e">
            <v>#N/A</v>
          </cell>
          <cell r="H138" t="e">
            <v>#N/A</v>
          </cell>
          <cell r="I138">
            <v>136</v>
          </cell>
          <cell r="J138">
            <v>0.46</v>
          </cell>
          <cell r="K138">
            <v>62.56</v>
          </cell>
          <cell r="L138" t="str">
            <v>?</v>
          </cell>
          <cell r="M138" t="e">
            <v>#N/A</v>
          </cell>
          <cell r="N138" t="e">
            <v>#N/A</v>
          </cell>
          <cell r="O138" t="e">
            <v>#VALUE!</v>
          </cell>
        </row>
        <row r="139">
          <cell r="A139">
            <v>90</v>
          </cell>
          <cell r="B139">
            <v>6</v>
          </cell>
          <cell r="C139" t="str">
            <v xml:space="preserve">Marco Metalico Sencillo de Sobreponer marca Steelcraft, calibre 16 para muro de Block de 5 3/4" preparacion estandar, Medidas : </v>
          </cell>
          <cell r="D139" t="str">
            <v>2'6" x 6'8"</v>
          </cell>
          <cell r="E139" t="str">
            <v>F16-2668-5-3/4</v>
          </cell>
          <cell r="F139" t="e">
            <v>#N/A</v>
          </cell>
          <cell r="G139" t="e">
            <v>#N/A</v>
          </cell>
          <cell r="H139" t="e">
            <v>#N/A</v>
          </cell>
          <cell r="I139">
            <v>136</v>
          </cell>
          <cell r="J139">
            <v>0.46</v>
          </cell>
          <cell r="K139">
            <v>62.56</v>
          </cell>
          <cell r="L139" t="str">
            <v>?</v>
          </cell>
          <cell r="M139" t="e">
            <v>#N/A</v>
          </cell>
          <cell r="N139" t="e">
            <v>#N/A</v>
          </cell>
          <cell r="O139" t="e">
            <v>#VALUE!</v>
          </cell>
        </row>
        <row r="141">
          <cell r="A141">
            <v>91</v>
          </cell>
          <cell r="B141">
            <v>6</v>
          </cell>
          <cell r="C141" t="str">
            <v>Marco Metalico Sencillo de Sobreponer marca Steelcraft, calibre 16 para muro de Block de 5 3/4" preparacion estandar , Medidas :</v>
          </cell>
          <cell r="D141" t="str">
            <v>3'0" x 7'0"</v>
          </cell>
          <cell r="E141" t="str">
            <v>F16-3070-5-3/4</v>
          </cell>
          <cell r="F141" t="e">
            <v>#N/A</v>
          </cell>
          <cell r="G141" t="e">
            <v>#N/A</v>
          </cell>
          <cell r="H141" t="e">
            <v>#N/A</v>
          </cell>
          <cell r="I141">
            <v>140</v>
          </cell>
          <cell r="J141">
            <v>0.46</v>
          </cell>
          <cell r="K141">
            <v>64.400000000000006</v>
          </cell>
          <cell r="L141" t="str">
            <v>?</v>
          </cell>
          <cell r="M141" t="e">
            <v>#N/A</v>
          </cell>
          <cell r="N141" t="e">
            <v>#N/A</v>
          </cell>
          <cell r="O141" t="e">
            <v>#VALUE!</v>
          </cell>
        </row>
        <row r="142">
          <cell r="A142">
            <v>92</v>
          </cell>
          <cell r="B142">
            <v>6</v>
          </cell>
          <cell r="C142" t="str">
            <v>Marco Metalico Sencillo de Sobreponer marca Steelcraft, calibre 16 para muro de Block de 5 3/4" preparacion Estandar y Refuerzo para Cierrapuertas, Medidas :</v>
          </cell>
          <cell r="D142" t="str">
            <v>3'0" x 7'0"</v>
          </cell>
          <cell r="E142" t="str">
            <v>F16-3070-5-3/4-CR</v>
          </cell>
          <cell r="F142" t="e">
            <v>#N/A</v>
          </cell>
          <cell r="G142" t="e">
            <v>#N/A</v>
          </cell>
          <cell r="H142" t="e">
            <v>#N/A</v>
          </cell>
          <cell r="I142">
            <v>148</v>
          </cell>
          <cell r="J142">
            <v>0.46</v>
          </cell>
          <cell r="K142">
            <v>68.08</v>
          </cell>
          <cell r="L142" t="str">
            <v>?</v>
          </cell>
          <cell r="M142" t="e">
            <v>#N/A</v>
          </cell>
          <cell r="N142" t="e">
            <v>#N/A</v>
          </cell>
          <cell r="O142" t="e">
            <v>#VALUE!</v>
          </cell>
        </row>
        <row r="143">
          <cell r="A143">
            <v>93</v>
          </cell>
          <cell r="B143">
            <v>6</v>
          </cell>
          <cell r="C143" t="str">
            <v>Marco Metalico Sencillo de Sobreponer marca Steelcraft, calibre 16 para muro de Block de 5 3/4" preparacion Estandar y Refuerzo para Cierrapuertas, Medidas :</v>
          </cell>
          <cell r="D143" t="str">
            <v>4'0" x 7'0"</v>
          </cell>
          <cell r="E143" t="str">
            <v>F16-4070-5-3/4-CR</v>
          </cell>
          <cell r="F143" t="e">
            <v>#N/A</v>
          </cell>
          <cell r="G143" t="e">
            <v>#N/A</v>
          </cell>
          <cell r="H143" t="e">
            <v>#N/A</v>
          </cell>
          <cell r="I143">
            <v>154</v>
          </cell>
          <cell r="J143">
            <v>0.46</v>
          </cell>
          <cell r="K143">
            <v>70.84</v>
          </cell>
          <cell r="L143" t="str">
            <v>?</v>
          </cell>
          <cell r="M143" t="e">
            <v>#N/A</v>
          </cell>
          <cell r="N143" t="e">
            <v>#N/A</v>
          </cell>
          <cell r="O143" t="e">
            <v>#VALUE!</v>
          </cell>
        </row>
        <row r="144">
          <cell r="A144">
            <v>94</v>
          </cell>
          <cell r="B144">
            <v>6</v>
          </cell>
          <cell r="C144" t="str">
            <v>Marco Metalico Doble de Sobreponer Galvanizado marca Steelcraft, calibre 16 para muro de Block de 5 3/4" preparacion Vaiven Refuerzo en bisagras, Medidas :</v>
          </cell>
          <cell r="D144" t="str">
            <v>6'0" x 6'8"</v>
          </cell>
          <cell r="E144" t="str">
            <v>F16-6068-5-3/4-CR-GALV</v>
          </cell>
          <cell r="F144" t="e">
            <v>#N/A</v>
          </cell>
          <cell r="G144" t="e">
            <v>#N/A</v>
          </cell>
          <cell r="H144" t="e">
            <v>#N/A</v>
          </cell>
          <cell r="I144">
            <v>309</v>
          </cell>
          <cell r="J144">
            <v>0.46</v>
          </cell>
          <cell r="K144">
            <v>142.14000000000001</v>
          </cell>
          <cell r="L144" t="str">
            <v>?</v>
          </cell>
          <cell r="M144" t="e">
            <v>#N/A</v>
          </cell>
          <cell r="N144" t="e">
            <v>#N/A</v>
          </cell>
          <cell r="O144" t="e">
            <v>#VALUE!</v>
          </cell>
        </row>
        <row r="145">
          <cell r="A145">
            <v>95</v>
          </cell>
          <cell r="B145">
            <v>6</v>
          </cell>
          <cell r="C145" t="str">
            <v>Marco Metalico de Intercomunicacion de Sobreponer marca Steelcraft, calibre 16 para muro de Block de 8 3/4" preparacion estandar , Medidas :</v>
          </cell>
          <cell r="D145" t="str">
            <v>3'0" x 7'0"</v>
          </cell>
          <cell r="E145" t="str">
            <v>F16-3070-8-3/4-COM</v>
          </cell>
          <cell r="F145" t="e">
            <v>#N/A</v>
          </cell>
          <cell r="G145" t="e">
            <v>#N/A</v>
          </cell>
          <cell r="H145" t="e">
            <v>#N/A</v>
          </cell>
          <cell r="I145">
            <v>204</v>
          </cell>
          <cell r="J145">
            <v>0.46</v>
          </cell>
          <cell r="K145">
            <v>93.84</v>
          </cell>
          <cell r="L145" t="str">
            <v>?</v>
          </cell>
          <cell r="M145" t="e">
            <v>#N/A</v>
          </cell>
          <cell r="N145" t="e">
            <v>#N/A</v>
          </cell>
          <cell r="O145" t="e">
            <v>#VALUE!</v>
          </cell>
        </row>
        <row r="146">
          <cell r="A146">
            <v>96</v>
          </cell>
          <cell r="B146">
            <v>6</v>
          </cell>
          <cell r="C146" t="str">
            <v>Marco Metalico Sencillo de Sobreponer marca Steelcraft, calibre 16 para muro de Block de 5 3/4" preparacion estandar , Medidas :</v>
          </cell>
          <cell r="D146" t="str">
            <v>2'8" x 7'0"</v>
          </cell>
          <cell r="E146" t="str">
            <v>F16-2870-5-3/4</v>
          </cell>
          <cell r="F146" t="e">
            <v>#N/A</v>
          </cell>
          <cell r="G146" t="e">
            <v>#N/A</v>
          </cell>
          <cell r="H146" t="e">
            <v>#N/A</v>
          </cell>
          <cell r="I146">
            <v>140</v>
          </cell>
          <cell r="J146">
            <v>0.46</v>
          </cell>
          <cell r="K146">
            <v>64.400000000000006</v>
          </cell>
          <cell r="L146" t="str">
            <v>?</v>
          </cell>
          <cell r="M146" t="e">
            <v>#N/A</v>
          </cell>
          <cell r="N146" t="e">
            <v>#N/A</v>
          </cell>
          <cell r="O146" t="e">
            <v>#VALUE!</v>
          </cell>
        </row>
        <row r="147">
          <cell r="A147">
            <v>97</v>
          </cell>
          <cell r="B147">
            <v>6</v>
          </cell>
          <cell r="C147" t="str">
            <v>Marco Metalico Sencillo de Sobreponer marca Steelcraft, calibre 16 para muro de Block de 5 3/4" preparacion estandar , Medidas :</v>
          </cell>
          <cell r="D147" t="str">
            <v>2'6" x 7'0"</v>
          </cell>
          <cell r="E147" t="str">
            <v>F16-2670-5-3/4</v>
          </cell>
          <cell r="F147" t="e">
            <v>#N/A</v>
          </cell>
          <cell r="G147" t="e">
            <v>#N/A</v>
          </cell>
          <cell r="H147" t="e">
            <v>#N/A</v>
          </cell>
          <cell r="I147">
            <v>140</v>
          </cell>
          <cell r="J147">
            <v>0.46</v>
          </cell>
          <cell r="K147">
            <v>64.400000000000006</v>
          </cell>
          <cell r="L147" t="str">
            <v>?</v>
          </cell>
          <cell r="M147" t="e">
            <v>#N/A</v>
          </cell>
          <cell r="N147" t="e">
            <v>#N/A</v>
          </cell>
          <cell r="O147" t="e">
            <v>#VALUE!</v>
          </cell>
        </row>
        <row r="148">
          <cell r="C148" t="str">
            <v>MARCOS AMWELD</v>
          </cell>
        </row>
        <row r="149">
          <cell r="A149">
            <v>98</v>
          </cell>
          <cell r="B149">
            <v>6</v>
          </cell>
          <cell r="C149" t="str">
            <v>Marco Metalico Sencillo de Abrazar marca Amweld, calibre 16 para muro de Tablaroca de 5 5/8" preparacion estandar , Medidas :</v>
          </cell>
          <cell r="D149" t="str">
            <v>3'0" x 6'8"</v>
          </cell>
          <cell r="E149" t="str">
            <v>2600SE-3068-5-5/8</v>
          </cell>
          <cell r="F149" t="str">
            <v>Amweld</v>
          </cell>
          <cell r="G149" t="e">
            <v>#N/A</v>
          </cell>
          <cell r="H149" t="str">
            <v>Amweld</v>
          </cell>
          <cell r="I149">
            <v>103</v>
          </cell>
          <cell r="J149">
            <v>0.54</v>
          </cell>
          <cell r="K149">
            <v>55.620000000000005</v>
          </cell>
          <cell r="L149" t="str">
            <v>?</v>
          </cell>
          <cell r="M149">
            <v>1</v>
          </cell>
          <cell r="N149">
            <v>1</v>
          </cell>
          <cell r="O149" t="e">
            <v>#VALUE!</v>
          </cell>
        </row>
        <row r="150">
          <cell r="A150">
            <v>99</v>
          </cell>
          <cell r="B150">
            <v>6</v>
          </cell>
          <cell r="C150" t="str">
            <v>Marco Metalico Sencillo de Abrazar marca Amweld, calibre 16 para muro de Tablaroca de 5 5/8" preparacion Estandar y Refuerzo para Cierrapuertas, Medidas :</v>
          </cell>
          <cell r="D150" t="str">
            <v>3'0" x 6'8"</v>
          </cell>
          <cell r="E150" t="str">
            <v>2600SE-3068-5-5/8-CR</v>
          </cell>
          <cell r="F150" t="str">
            <v>Amweld</v>
          </cell>
          <cell r="G150" t="e">
            <v>#N/A</v>
          </cell>
          <cell r="H150" t="str">
            <v>Amweld</v>
          </cell>
          <cell r="I150">
            <v>108</v>
          </cell>
          <cell r="J150">
            <v>0.54</v>
          </cell>
          <cell r="K150">
            <v>58.320000000000007</v>
          </cell>
          <cell r="L150" t="str">
            <v>?</v>
          </cell>
          <cell r="M150">
            <v>1</v>
          </cell>
          <cell r="N150">
            <v>1</v>
          </cell>
          <cell r="O150" t="e">
            <v>#VALUE!</v>
          </cell>
        </row>
        <row r="151">
          <cell r="A151">
            <v>100</v>
          </cell>
          <cell r="B151">
            <v>6</v>
          </cell>
          <cell r="C151" t="str">
            <v>Marco Metalico Sencillo de Abrazar marca Amweld, calibre 16 para muro de Tablaroca de 5 5/8" preparacion Estandar y Refuerzo para Cierrapuertas, Medidas :</v>
          </cell>
          <cell r="D151" t="str">
            <v>4'0" x 6'8"</v>
          </cell>
          <cell r="E151" t="str">
            <v>2600SE-4068-5-5/8-CR</v>
          </cell>
          <cell r="F151" t="str">
            <v>Amweld</v>
          </cell>
          <cell r="G151" t="e">
            <v>#N/A</v>
          </cell>
          <cell r="H151" t="str">
            <v>Amweld</v>
          </cell>
          <cell r="I151">
            <v>112</v>
          </cell>
          <cell r="J151">
            <v>0.54</v>
          </cell>
          <cell r="K151">
            <v>60.480000000000004</v>
          </cell>
          <cell r="L151" t="str">
            <v>?</v>
          </cell>
          <cell r="M151">
            <v>1</v>
          </cell>
          <cell r="N151">
            <v>1</v>
          </cell>
          <cell r="O151" t="e">
            <v>#VALUE!</v>
          </cell>
        </row>
        <row r="152">
          <cell r="A152">
            <v>101</v>
          </cell>
          <cell r="B152">
            <v>6</v>
          </cell>
          <cell r="C152" t="str">
            <v>Marco Metalico Doble de Abrazar marca Amweld, calibre 16 para muro de Tablaroca de 5 5/8" preparacion Estandar y Refuerzo para Cierrapuertas, Medidas :</v>
          </cell>
          <cell r="D152" t="str">
            <v>6'0" x 6'8"</v>
          </cell>
          <cell r="E152" t="str">
            <v>2600SE-6068-5-5/8-CR</v>
          </cell>
          <cell r="F152" t="str">
            <v>Amweld</v>
          </cell>
          <cell r="G152" t="e">
            <v>#N/A</v>
          </cell>
          <cell r="H152" t="str">
            <v>Amweld</v>
          </cell>
          <cell r="I152">
            <v>137</v>
          </cell>
          <cell r="J152">
            <v>0.54</v>
          </cell>
          <cell r="K152">
            <v>73.98</v>
          </cell>
          <cell r="L152" t="str">
            <v>?</v>
          </cell>
          <cell r="M152">
            <v>1</v>
          </cell>
          <cell r="N152">
            <v>1</v>
          </cell>
          <cell r="O152" t="e">
            <v>#VALUE!</v>
          </cell>
        </row>
        <row r="153">
          <cell r="A153">
            <v>102</v>
          </cell>
          <cell r="B153">
            <v>6</v>
          </cell>
          <cell r="C153" t="str">
            <v>Marco Metalico de Intercomunicacion de Abrazar marca Amweld, calibre 16 para muro de Tablaroca de 8 1/8" preparacion estandar , Medidas :</v>
          </cell>
          <cell r="D153" t="str">
            <v>3'0" x 6'8"</v>
          </cell>
          <cell r="E153" t="str">
            <v>2600SE-3068-8-1/8-COM</v>
          </cell>
          <cell r="F153" t="str">
            <v>Amweld</v>
          </cell>
          <cell r="G153" t="e">
            <v>#N/A</v>
          </cell>
          <cell r="H153" t="str">
            <v>Amweld</v>
          </cell>
          <cell r="I153">
            <v>174</v>
          </cell>
          <cell r="J153">
            <v>0.54</v>
          </cell>
          <cell r="K153">
            <v>93.960000000000008</v>
          </cell>
          <cell r="L153" t="str">
            <v>?</v>
          </cell>
          <cell r="M153">
            <v>1</v>
          </cell>
          <cell r="N153">
            <v>1</v>
          </cell>
          <cell r="O153" t="e">
            <v>#VALUE!</v>
          </cell>
        </row>
        <row r="154">
          <cell r="A154">
            <v>103</v>
          </cell>
          <cell r="B154">
            <v>6</v>
          </cell>
          <cell r="C154" t="str">
            <v>Marco Metalico Sencillo de Abrazar marca Amweld, calibre 16 para muro de Tablaroca de 4 3/4" preparacion estandar , Medidas :</v>
          </cell>
          <cell r="D154" t="e">
            <v>#N/A</v>
          </cell>
          <cell r="E154" t="str">
            <v>2600SE-2868- 4-3/4</v>
          </cell>
          <cell r="F154" t="str">
            <v>Amweld</v>
          </cell>
          <cell r="G154" t="e">
            <v>#N/A</v>
          </cell>
          <cell r="H154" t="str">
            <v>Amweld</v>
          </cell>
          <cell r="I154">
            <v>103</v>
          </cell>
          <cell r="J154">
            <v>0.54</v>
          </cell>
          <cell r="K154">
            <v>55.620000000000005</v>
          </cell>
          <cell r="L154" t="str">
            <v>?</v>
          </cell>
          <cell r="M154">
            <v>1</v>
          </cell>
          <cell r="N154">
            <v>1</v>
          </cell>
          <cell r="O154" t="e">
            <v>#VALUE!</v>
          </cell>
        </row>
        <row r="155">
          <cell r="A155">
            <v>104</v>
          </cell>
          <cell r="B155">
            <v>6</v>
          </cell>
          <cell r="C155" t="str">
            <v>Marco Metalico Sencillo de Abrazar marca Amweld, calibre 16 para muro de Tablaroca de  4 3/4" preparacion estandar , Medidas :</v>
          </cell>
          <cell r="D155" t="str">
            <v>2'6" x 6'8"</v>
          </cell>
          <cell r="E155" t="str">
            <v>2600SE-2668- 4-3/4</v>
          </cell>
          <cell r="F155" t="str">
            <v>Amweld</v>
          </cell>
          <cell r="G155" t="e">
            <v>#N/A</v>
          </cell>
          <cell r="H155" t="str">
            <v>Amweld</v>
          </cell>
          <cell r="I155">
            <v>103</v>
          </cell>
          <cell r="J155">
            <v>0.54</v>
          </cell>
          <cell r="K155">
            <v>55.620000000000005</v>
          </cell>
          <cell r="L155" t="str">
            <v>?</v>
          </cell>
          <cell r="M155">
            <v>1</v>
          </cell>
          <cell r="N155">
            <v>1</v>
          </cell>
          <cell r="O155" t="e">
            <v>#VALUE!</v>
          </cell>
        </row>
        <row r="157">
          <cell r="A157">
            <v>105</v>
          </cell>
          <cell r="B157">
            <v>6</v>
          </cell>
          <cell r="C157" t="str">
            <v>Marco Metalico Sencillo de Abrazar marca Amweld, calibre 16 para muro de Tablaroca de 5 5/8" preparacion estandar , Medidas :</v>
          </cell>
          <cell r="D157" t="str">
            <v>3'0" x 7'0"</v>
          </cell>
          <cell r="E157" t="str">
            <v>2600SE-3070-5-5/8</v>
          </cell>
          <cell r="F157" t="str">
            <v>Amweld</v>
          </cell>
          <cell r="G157" t="e">
            <v>#N/A</v>
          </cell>
          <cell r="H157" t="str">
            <v>Amweld</v>
          </cell>
          <cell r="I157">
            <v>109</v>
          </cell>
          <cell r="J157">
            <v>0.56999999999999995</v>
          </cell>
          <cell r="K157">
            <v>62.129999999999995</v>
          </cell>
          <cell r="L157" t="str">
            <v>?</v>
          </cell>
          <cell r="M157">
            <v>1</v>
          </cell>
          <cell r="N157">
            <v>1</v>
          </cell>
          <cell r="O157" t="e">
            <v>#VALUE!</v>
          </cell>
        </row>
        <row r="158">
          <cell r="A158">
            <v>106</v>
          </cell>
          <cell r="B158">
            <v>6</v>
          </cell>
          <cell r="C158" t="str">
            <v>Marco Metalico Sencillo de Abrazar marca Amweld, calibre 16 para muro de Tablaroca de 5 5/8" preparacion Estandar y Refuerzo para Cierrapuertas, Medidas :</v>
          </cell>
          <cell r="D158" t="str">
            <v>3'0" x 7'0"</v>
          </cell>
          <cell r="E158" t="str">
            <v>2600SE-3070-5-5/8-CR</v>
          </cell>
          <cell r="F158" t="str">
            <v>Amweld</v>
          </cell>
          <cell r="G158" t="e">
            <v>#N/A</v>
          </cell>
          <cell r="H158" t="str">
            <v>Amweld</v>
          </cell>
          <cell r="I158">
            <v>114</v>
          </cell>
          <cell r="J158">
            <v>0.54</v>
          </cell>
          <cell r="K158">
            <v>61.56</v>
          </cell>
          <cell r="L158" t="str">
            <v>?</v>
          </cell>
          <cell r="M158">
            <v>1</v>
          </cell>
          <cell r="N158">
            <v>1</v>
          </cell>
          <cell r="O158" t="e">
            <v>#VALUE!</v>
          </cell>
        </row>
        <row r="159">
          <cell r="A159">
            <v>107</v>
          </cell>
          <cell r="B159">
            <v>6</v>
          </cell>
          <cell r="C159" t="str">
            <v>Marco Metalico Sencillo de Abrazar marca Amweld, calibre 16 para muro de Tablaroca de 5 5/8" preparacion Estandar y Refuerzo para Cierrapuertas, Medidas :</v>
          </cell>
          <cell r="D159" t="str">
            <v>4'0" x 7'0"</v>
          </cell>
          <cell r="E159" t="str">
            <v>2600SE-4070-5-5/8-CR</v>
          </cell>
          <cell r="F159" t="str">
            <v>Amweld</v>
          </cell>
          <cell r="G159" t="e">
            <v>#N/A</v>
          </cell>
          <cell r="H159" t="str">
            <v>Amweld</v>
          </cell>
          <cell r="I159">
            <v>118</v>
          </cell>
          <cell r="J159">
            <v>0.54</v>
          </cell>
          <cell r="K159">
            <v>63.720000000000006</v>
          </cell>
          <cell r="L159" t="str">
            <v>?</v>
          </cell>
          <cell r="M159">
            <v>1</v>
          </cell>
          <cell r="N159">
            <v>1</v>
          </cell>
          <cell r="O159" t="e">
            <v>#VALUE!</v>
          </cell>
        </row>
        <row r="160">
          <cell r="A160">
            <v>108</v>
          </cell>
          <cell r="B160">
            <v>6</v>
          </cell>
          <cell r="C160" t="str">
            <v>Marco Metalico Doble de Abrazar marca Amweld, calibre 16 para muro de Tablaroca de 5 5/8" preparacion Estandar y Refuerzo para Cierrapuertas, Medidas :</v>
          </cell>
          <cell r="D160" t="e">
            <v>#N/A</v>
          </cell>
          <cell r="E160" t="str">
            <v>2600SE-6070-5-5/8-CR</v>
          </cell>
          <cell r="F160" t="str">
            <v>Amweld</v>
          </cell>
          <cell r="G160" t="e">
            <v>#N/A</v>
          </cell>
          <cell r="H160" t="str">
            <v>Amweld</v>
          </cell>
          <cell r="I160">
            <v>143</v>
          </cell>
          <cell r="J160">
            <v>0.54</v>
          </cell>
          <cell r="K160">
            <v>77.22</v>
          </cell>
          <cell r="L160" t="str">
            <v>?</v>
          </cell>
          <cell r="M160">
            <v>1</v>
          </cell>
          <cell r="N160">
            <v>1</v>
          </cell>
          <cell r="O160" t="e">
            <v>#VALUE!</v>
          </cell>
        </row>
        <row r="161">
          <cell r="A161">
            <v>109</v>
          </cell>
          <cell r="B161">
            <v>6</v>
          </cell>
          <cell r="C161" t="str">
            <v>Marco Metalico de Intercomunicacion de Abrazar marca Amweld, calibre 16 para muro de Tablaroca de 8 3/4" preparacion estandar , Medidas :</v>
          </cell>
          <cell r="D161" t="str">
            <v>3'0" x 7'0"</v>
          </cell>
          <cell r="E161" t="str">
            <v>2600SE-3070-8-3/4-COM</v>
          </cell>
          <cell r="F161" t="str">
            <v>Amweld</v>
          </cell>
          <cell r="G161" t="e">
            <v>#N/A</v>
          </cell>
          <cell r="H161" t="str">
            <v>Amweld</v>
          </cell>
          <cell r="I161">
            <v>180</v>
          </cell>
          <cell r="J161">
            <v>0.54</v>
          </cell>
          <cell r="K161">
            <v>97.2</v>
          </cell>
          <cell r="L161" t="str">
            <v>?</v>
          </cell>
          <cell r="M161">
            <v>1</v>
          </cell>
          <cell r="N161">
            <v>1</v>
          </cell>
          <cell r="O161" t="e">
            <v>#VALUE!</v>
          </cell>
        </row>
        <row r="162">
          <cell r="A162">
            <v>110</v>
          </cell>
          <cell r="B162">
            <v>6</v>
          </cell>
          <cell r="C162" t="str">
            <v>Marco Metalico Sencillo de Abrazar marca Amweld, calibre 16 para muro de Tablaroca de 4 3/4" preparacion estandar , Medidas :</v>
          </cell>
          <cell r="D162" t="str">
            <v>2'8" x 7'0"</v>
          </cell>
          <cell r="E162" t="str">
            <v>2600SE-2870-4-3/4</v>
          </cell>
          <cell r="F162" t="str">
            <v>Amweld</v>
          </cell>
          <cell r="G162" t="e">
            <v>#N/A</v>
          </cell>
          <cell r="H162" t="str">
            <v>Amweld</v>
          </cell>
          <cell r="I162">
            <v>109</v>
          </cell>
          <cell r="J162">
            <v>0.54</v>
          </cell>
          <cell r="K162">
            <v>58.860000000000007</v>
          </cell>
          <cell r="L162" t="str">
            <v>?</v>
          </cell>
          <cell r="M162">
            <v>1</v>
          </cell>
          <cell r="N162">
            <v>1</v>
          </cell>
          <cell r="O162" t="e">
            <v>#VALUE!</v>
          </cell>
        </row>
        <row r="163">
          <cell r="A163">
            <v>111</v>
          </cell>
          <cell r="B163">
            <v>6</v>
          </cell>
          <cell r="C163" t="str">
            <v>Marco Metalico Sencillo de Abrazar marca Amweld, calibre 16 para muro de Tablaroca de  4 3/4" preparacion estandar , Medidas :</v>
          </cell>
          <cell r="D163" t="str">
            <v>2'6" x 7'0"</v>
          </cell>
          <cell r="E163" t="str">
            <v>2600SE-2670-4-3/4</v>
          </cell>
          <cell r="F163" t="str">
            <v>Amweld</v>
          </cell>
          <cell r="G163" t="e">
            <v>#N/A</v>
          </cell>
          <cell r="H163" t="str">
            <v>Amweld</v>
          </cell>
          <cell r="I163">
            <v>109</v>
          </cell>
          <cell r="J163">
            <v>0.54</v>
          </cell>
          <cell r="K163">
            <v>58.860000000000007</v>
          </cell>
          <cell r="L163" t="str">
            <v>?</v>
          </cell>
          <cell r="M163">
            <v>1</v>
          </cell>
          <cell r="N163">
            <v>1</v>
          </cell>
          <cell r="O163" t="e">
            <v>#VALUE!</v>
          </cell>
        </row>
        <row r="165">
          <cell r="A165">
            <v>112</v>
          </cell>
          <cell r="B165">
            <v>6</v>
          </cell>
          <cell r="C165" t="str">
            <v xml:space="preserve">Marco Metalico Sencillo de Sobreponer marca Amweld, calibre 16 para muro de Block de 5 3/4" preparacion estandar, Medidas : </v>
          </cell>
          <cell r="D165" t="str">
            <v>3'0" x 6'8"</v>
          </cell>
          <cell r="E165" t="str">
            <v>400SE-3068-5-3/4</v>
          </cell>
          <cell r="F165" t="str">
            <v>Amweld</v>
          </cell>
          <cell r="G165" t="e">
            <v>#N/A</v>
          </cell>
          <cell r="H165" t="str">
            <v>Amweld</v>
          </cell>
          <cell r="I165">
            <v>117</v>
          </cell>
          <cell r="J165">
            <v>0.54</v>
          </cell>
          <cell r="K165">
            <v>63.180000000000007</v>
          </cell>
          <cell r="L165" t="str">
            <v>?</v>
          </cell>
          <cell r="M165">
            <v>1</v>
          </cell>
          <cell r="N165">
            <v>1</v>
          </cell>
          <cell r="O165" t="e">
            <v>#VALUE!</v>
          </cell>
        </row>
        <row r="166">
          <cell r="A166">
            <v>113</v>
          </cell>
          <cell r="B166">
            <v>6</v>
          </cell>
          <cell r="C166" t="str">
            <v>Marco Metalico Sencillo de Sobreponer marca Amweld, calibre 16 para muro de Block de 5 3/4" preparacion Estandar y Refuerzo para Cierrapuertas, Medidas :</v>
          </cell>
          <cell r="D166" t="str">
            <v>3'0" x 6'8"</v>
          </cell>
          <cell r="E166" t="str">
            <v>400SE-3068-5-3/4-CR</v>
          </cell>
          <cell r="F166" t="str">
            <v>Amweld</v>
          </cell>
          <cell r="G166" t="e">
            <v>#N/A</v>
          </cell>
          <cell r="H166" t="str">
            <v>Amweld</v>
          </cell>
          <cell r="I166">
            <v>122</v>
          </cell>
          <cell r="J166">
            <v>0.54</v>
          </cell>
          <cell r="K166">
            <v>65.88000000000001</v>
          </cell>
          <cell r="L166" t="str">
            <v>?</v>
          </cell>
          <cell r="M166">
            <v>1</v>
          </cell>
          <cell r="N166">
            <v>1</v>
          </cell>
          <cell r="O166" t="e">
            <v>#VALUE!</v>
          </cell>
        </row>
        <row r="167">
          <cell r="A167">
            <v>114</v>
          </cell>
          <cell r="B167">
            <v>6</v>
          </cell>
          <cell r="C167" t="str">
            <v>Marco Metalico Sencillo de Sobreponer marca Amweld, calibre 16 para muro de Block de 5 3/4" preparacion Estandar y Refuerzo para Cierrapuertas, Medidas :</v>
          </cell>
          <cell r="D167" t="str">
            <v>4'0" x 6'8"</v>
          </cell>
          <cell r="E167" t="str">
            <v>400SE-4068-5-3/4-CR</v>
          </cell>
          <cell r="F167" t="str">
            <v>Amweld</v>
          </cell>
          <cell r="G167" t="e">
            <v>#N/A</v>
          </cell>
          <cell r="H167" t="str">
            <v>Amweld</v>
          </cell>
          <cell r="I167">
            <v>126</v>
          </cell>
          <cell r="J167">
            <v>0.54</v>
          </cell>
          <cell r="K167">
            <v>68.040000000000006</v>
          </cell>
          <cell r="L167" t="str">
            <v>?</v>
          </cell>
          <cell r="M167">
            <v>1</v>
          </cell>
          <cell r="N167">
            <v>1</v>
          </cell>
          <cell r="O167" t="e">
            <v>#VALUE!</v>
          </cell>
        </row>
        <row r="168">
          <cell r="A168">
            <v>115</v>
          </cell>
          <cell r="B168">
            <v>6</v>
          </cell>
          <cell r="C168" t="str">
            <v>Marco Metalico Doble de Sobreponer marca Amweld, calibre 16 para muro de Block de 5 3/4" preparacion Estandar y Refuerzo para Cierrapuertas, Medidas :</v>
          </cell>
          <cell r="D168" t="str">
            <v>6'0" x 6'8"</v>
          </cell>
          <cell r="E168" t="str">
            <v>400SE-6068-5-3/4-CR</v>
          </cell>
          <cell r="F168" t="str">
            <v>Amweld</v>
          </cell>
          <cell r="G168" t="e">
            <v>#N/A</v>
          </cell>
          <cell r="H168" t="str">
            <v>Amweld</v>
          </cell>
          <cell r="I168">
            <v>152</v>
          </cell>
          <cell r="J168">
            <v>0.54</v>
          </cell>
          <cell r="K168">
            <v>82.080000000000013</v>
          </cell>
          <cell r="L168" t="str">
            <v>?</v>
          </cell>
          <cell r="M168">
            <v>1</v>
          </cell>
          <cell r="N168">
            <v>1</v>
          </cell>
          <cell r="O168" t="e">
            <v>#VALUE!</v>
          </cell>
        </row>
        <row r="169">
          <cell r="A169">
            <v>116</v>
          </cell>
          <cell r="B169">
            <v>6</v>
          </cell>
          <cell r="C169" t="str">
            <v>Marco Metalico de Intercomunicacion de Sobreponer marca Amweld, calibre 16 para muro de Block de 8 3/4" preparacion estandar , Medidas :</v>
          </cell>
          <cell r="D169" t="str">
            <v>3'0" x 6'8"</v>
          </cell>
          <cell r="E169" t="str">
            <v>400SE-3068-8-3/4-COM</v>
          </cell>
          <cell r="F169" t="str">
            <v>Amweld</v>
          </cell>
          <cell r="G169" t="e">
            <v>#N/A</v>
          </cell>
          <cell r="H169" t="str">
            <v>Amweld</v>
          </cell>
          <cell r="I169">
            <v>188</v>
          </cell>
          <cell r="J169">
            <v>0.54</v>
          </cell>
          <cell r="K169">
            <v>101.52000000000001</v>
          </cell>
          <cell r="L169" t="str">
            <v>?</v>
          </cell>
          <cell r="M169">
            <v>1</v>
          </cell>
          <cell r="N169">
            <v>1</v>
          </cell>
          <cell r="O169" t="e">
            <v>#VALUE!</v>
          </cell>
        </row>
        <row r="170">
          <cell r="A170">
            <v>117</v>
          </cell>
          <cell r="B170">
            <v>6</v>
          </cell>
          <cell r="C170" t="str">
            <v>Marco Metalico Sencillo de Sobreponer marca Amweld, calibre 16 para muro de Block de 5 3/4" preparacion estandar , Medidas :</v>
          </cell>
          <cell r="D170" t="e">
            <v>#N/A</v>
          </cell>
          <cell r="E170" t="str">
            <v>400SE-2868-5-3/4</v>
          </cell>
          <cell r="F170" t="str">
            <v>Amweld</v>
          </cell>
          <cell r="G170" t="e">
            <v>#N/A</v>
          </cell>
          <cell r="H170" t="str">
            <v>Amweld</v>
          </cell>
          <cell r="I170">
            <v>117</v>
          </cell>
          <cell r="J170">
            <v>0.54</v>
          </cell>
          <cell r="K170">
            <v>63.180000000000007</v>
          </cell>
          <cell r="L170" t="str">
            <v>?</v>
          </cell>
          <cell r="M170">
            <v>1</v>
          </cell>
          <cell r="N170">
            <v>1</v>
          </cell>
          <cell r="O170" t="e">
            <v>#VALUE!</v>
          </cell>
        </row>
        <row r="171">
          <cell r="A171">
            <v>118</v>
          </cell>
          <cell r="B171">
            <v>6</v>
          </cell>
          <cell r="C171" t="str">
            <v>Marco Metalico Sencillo de Sobreponer marca Amweld, calibre 16 para muro de Block de 5 3/4" preparacion estandar , Medidas :</v>
          </cell>
          <cell r="D171" t="str">
            <v>2'6" x 6'8"</v>
          </cell>
          <cell r="E171" t="str">
            <v>400SE-2668-5-3/4</v>
          </cell>
          <cell r="F171" t="str">
            <v>Amweld</v>
          </cell>
          <cell r="G171" t="e">
            <v>#N/A</v>
          </cell>
          <cell r="H171" t="str">
            <v>Amweld</v>
          </cell>
          <cell r="I171">
            <v>117</v>
          </cell>
          <cell r="J171">
            <v>0.54</v>
          </cell>
          <cell r="K171">
            <v>63.180000000000007</v>
          </cell>
          <cell r="L171" t="str">
            <v>?</v>
          </cell>
          <cell r="M171">
            <v>1</v>
          </cell>
          <cell r="N171">
            <v>1</v>
          </cell>
          <cell r="O171" t="e">
            <v>#VALUE!</v>
          </cell>
        </row>
        <row r="173">
          <cell r="A173">
            <v>119</v>
          </cell>
          <cell r="B173">
            <v>6</v>
          </cell>
          <cell r="C173" t="str">
            <v xml:space="preserve">Marco Metalico Sencillo de Sobreponer marca Amweld, calibre 16 para muro de Block de 5 3/4" preparacion estandar, Medidas : </v>
          </cell>
          <cell r="D173" t="str">
            <v>3'0" x 7'0"</v>
          </cell>
          <cell r="E173" t="str">
            <v>400SE-3070-5-3/4</v>
          </cell>
          <cell r="F173" t="str">
            <v>Amweld</v>
          </cell>
          <cell r="G173" t="e">
            <v>#N/A</v>
          </cell>
          <cell r="H173" t="str">
            <v>Amweld</v>
          </cell>
          <cell r="I173">
            <v>127</v>
          </cell>
          <cell r="J173">
            <v>0.54</v>
          </cell>
          <cell r="K173">
            <v>68.58</v>
          </cell>
          <cell r="L173" t="str">
            <v>?</v>
          </cell>
          <cell r="M173">
            <v>1</v>
          </cell>
          <cell r="N173">
            <v>1</v>
          </cell>
          <cell r="O173" t="e">
            <v>#VALUE!</v>
          </cell>
        </row>
        <row r="174">
          <cell r="A174">
            <v>120</v>
          </cell>
          <cell r="B174">
            <v>6</v>
          </cell>
          <cell r="C174" t="str">
            <v>Marco Metalico Sencillo de Sobreponer marca Amweld, calibre 16 para muro de Block de 5 3/4" preparacion Estandar y Refuerzo para Cierrapuertas, Medidas :</v>
          </cell>
          <cell r="D174" t="str">
            <v>3'0" x 7'0"</v>
          </cell>
          <cell r="E174" t="str">
            <v>400SE-3070-5-3/4-CR</v>
          </cell>
          <cell r="F174" t="str">
            <v>Amweld</v>
          </cell>
          <cell r="G174" t="e">
            <v>#N/A</v>
          </cell>
          <cell r="H174" t="str">
            <v>Amweld</v>
          </cell>
          <cell r="I174">
            <v>132</v>
          </cell>
          <cell r="J174">
            <v>0.54</v>
          </cell>
          <cell r="K174">
            <v>71.28</v>
          </cell>
          <cell r="L174" t="str">
            <v>?</v>
          </cell>
          <cell r="M174">
            <v>1</v>
          </cell>
          <cell r="N174">
            <v>1</v>
          </cell>
          <cell r="O174" t="e">
            <v>#VALUE!</v>
          </cell>
        </row>
        <row r="175">
          <cell r="A175">
            <v>121</v>
          </cell>
          <cell r="B175">
            <v>6</v>
          </cell>
          <cell r="C175" t="str">
            <v>Marco Metalico Sencillo de Sobreponer marca Amweld, calibre 16 para muro de Block de 5 3/4" preparacion Estandar y Refuerzo para Cierrapuertas, Medidas :</v>
          </cell>
          <cell r="D175" t="str">
            <v>4'0" x 7'0"</v>
          </cell>
          <cell r="E175" t="str">
            <v>400SE-4070-5-3/4-CR</v>
          </cell>
          <cell r="F175" t="str">
            <v>Amweld</v>
          </cell>
          <cell r="G175" t="e">
            <v>#N/A</v>
          </cell>
          <cell r="H175" t="str">
            <v>Amweld</v>
          </cell>
          <cell r="I175">
            <v>136</v>
          </cell>
          <cell r="J175">
            <v>0.54</v>
          </cell>
          <cell r="K175">
            <v>73.44</v>
          </cell>
          <cell r="L175" t="str">
            <v>?</v>
          </cell>
          <cell r="M175">
            <v>1</v>
          </cell>
          <cell r="N175">
            <v>1</v>
          </cell>
          <cell r="O175" t="e">
            <v>#VALUE!</v>
          </cell>
        </row>
        <row r="176">
          <cell r="A176">
            <v>122</v>
          </cell>
          <cell r="B176">
            <v>6</v>
          </cell>
          <cell r="C176" t="str">
            <v>Marco Metalico Doble de Sobreponer marca Amweld, calibre 16 para muro de Block de 5 3/4" preparacion Estandar y Refuerzo para Cierrapuertas, Medidas :</v>
          </cell>
          <cell r="D176" t="e">
            <v>#N/A</v>
          </cell>
          <cell r="E176" t="str">
            <v>400SE-6070-5-3/4-CR</v>
          </cell>
          <cell r="F176" t="str">
            <v>Amweld</v>
          </cell>
          <cell r="G176" t="e">
            <v>#N/A</v>
          </cell>
          <cell r="H176" t="str">
            <v>Amweld</v>
          </cell>
          <cell r="I176">
            <v>162</v>
          </cell>
          <cell r="J176">
            <v>0.54</v>
          </cell>
          <cell r="K176">
            <v>87.48</v>
          </cell>
          <cell r="L176" t="str">
            <v>?</v>
          </cell>
          <cell r="M176">
            <v>1</v>
          </cell>
          <cell r="N176">
            <v>1</v>
          </cell>
          <cell r="O176" t="e">
            <v>#VALUE!</v>
          </cell>
        </row>
        <row r="177">
          <cell r="A177">
            <v>123</v>
          </cell>
          <cell r="B177">
            <v>6</v>
          </cell>
          <cell r="C177" t="str">
            <v>Marco Metalico de Intercomunicacion de Sobreponer marca Amweld, calibre 16 para muro de Block de 8 3/4" preparacion estandar , Medidas :</v>
          </cell>
          <cell r="D177" t="str">
            <v>3'0" x 7'0"</v>
          </cell>
          <cell r="E177" t="str">
            <v>400SE-3070-8-3/4-COM</v>
          </cell>
          <cell r="F177" t="str">
            <v>Amweld</v>
          </cell>
          <cell r="G177" t="e">
            <v>#N/A</v>
          </cell>
          <cell r="H177" t="str">
            <v>Amweld</v>
          </cell>
          <cell r="I177">
            <v>198</v>
          </cell>
          <cell r="J177">
            <v>0.54</v>
          </cell>
          <cell r="K177">
            <v>106.92</v>
          </cell>
          <cell r="L177" t="str">
            <v>?</v>
          </cell>
          <cell r="M177">
            <v>1</v>
          </cell>
          <cell r="N177">
            <v>1</v>
          </cell>
          <cell r="O177" t="e">
            <v>#VALUE!</v>
          </cell>
        </row>
        <row r="178">
          <cell r="A178">
            <v>124</v>
          </cell>
          <cell r="B178">
            <v>6</v>
          </cell>
          <cell r="C178" t="str">
            <v xml:space="preserve">Marco Metalico Sencillo de Sobreponer marca Amweld, calibre 16 para muro de Block de 5 3/4" preparacion estandar, Medidas : </v>
          </cell>
          <cell r="D178" t="str">
            <v>2'8" x 7'0"</v>
          </cell>
          <cell r="E178" t="str">
            <v>400SE-2870-5-3/4</v>
          </cell>
          <cell r="F178" t="str">
            <v>Amweld</v>
          </cell>
          <cell r="G178" t="e">
            <v>#N/A</v>
          </cell>
          <cell r="H178" t="str">
            <v>Amweld</v>
          </cell>
          <cell r="I178">
            <v>127</v>
          </cell>
          <cell r="J178">
            <v>0.54</v>
          </cell>
          <cell r="K178">
            <v>68.58</v>
          </cell>
          <cell r="L178" t="str">
            <v>?</v>
          </cell>
          <cell r="M178">
            <v>1</v>
          </cell>
          <cell r="N178">
            <v>1</v>
          </cell>
          <cell r="O178" t="e">
            <v>#VALUE!</v>
          </cell>
        </row>
        <row r="179">
          <cell r="A179">
            <v>125</v>
          </cell>
          <cell r="B179">
            <v>6</v>
          </cell>
          <cell r="C179" t="str">
            <v xml:space="preserve">Marco Metalico Sencillo de Sobreponer marca Amweld, calibre 16 para muro de Block de 5 3/4" preparacion estandar, Medidas : </v>
          </cell>
          <cell r="D179" t="str">
            <v>2'6" x 7'0"</v>
          </cell>
          <cell r="E179" t="str">
            <v>400SE-2670-5-3/4</v>
          </cell>
          <cell r="F179" t="str">
            <v>Amweld</v>
          </cell>
          <cell r="G179" t="e">
            <v>#N/A</v>
          </cell>
          <cell r="H179" t="str">
            <v>Amweld</v>
          </cell>
          <cell r="I179">
            <v>127</v>
          </cell>
          <cell r="J179">
            <v>0.54</v>
          </cell>
          <cell r="K179">
            <v>68.58</v>
          </cell>
          <cell r="L179" t="str">
            <v>?</v>
          </cell>
          <cell r="M179">
            <v>1</v>
          </cell>
          <cell r="N179">
            <v>1</v>
          </cell>
          <cell r="O179" t="e">
            <v>#VALUE!</v>
          </cell>
        </row>
        <row r="180">
          <cell r="C180" t="str">
            <v>MARCOS DE MADERA</v>
          </cell>
        </row>
        <row r="181">
          <cell r="A181">
            <v>126</v>
          </cell>
          <cell r="B181">
            <v>7</v>
          </cell>
          <cell r="C181" t="str">
            <v>Marco de madera FJ de Pino de 15 cms de ancho con Chambrana de 5cm en ambos lados, Medidas :</v>
          </cell>
          <cell r="D181" t="str">
            <v>3'0" x 7'0"</v>
          </cell>
          <cell r="E181" t="str">
            <v>MFJP3070-15-CH5</v>
          </cell>
          <cell r="F181" t="str">
            <v>Ligno</v>
          </cell>
          <cell r="G181" t="str">
            <v>SMU</v>
          </cell>
          <cell r="H181" t="str">
            <v>ligno</v>
          </cell>
          <cell r="I181">
            <v>47.8</v>
          </cell>
          <cell r="J181">
            <v>1.25</v>
          </cell>
          <cell r="K181">
            <v>59.75</v>
          </cell>
          <cell r="L181" t="str">
            <v>?</v>
          </cell>
          <cell r="M181" t="e">
            <v>#N/A</v>
          </cell>
          <cell r="N181" t="e">
            <v>#N/A</v>
          </cell>
          <cell r="O181" t="e">
            <v>#VALUE!</v>
          </cell>
        </row>
        <row r="182">
          <cell r="A182">
            <v>127</v>
          </cell>
          <cell r="B182">
            <v>7</v>
          </cell>
          <cell r="C182" t="str">
            <v xml:space="preserve">Marco de madera FJ de Pino de 10 cms de ancho con Moldura rinconera en ambos lados, Medidas : </v>
          </cell>
          <cell r="D182" t="str">
            <v>3'0" x 7'0"</v>
          </cell>
          <cell r="E182" t="str">
            <v>MFJP3070-10-MR</v>
          </cell>
          <cell r="F182" t="str">
            <v>Ligno</v>
          </cell>
          <cell r="G182" t="str">
            <v>SMU</v>
          </cell>
          <cell r="H182" t="str">
            <v>ligno</v>
          </cell>
          <cell r="I182">
            <v>28.55</v>
          </cell>
          <cell r="J182">
            <v>1.25</v>
          </cell>
          <cell r="K182">
            <v>35.6875</v>
          </cell>
          <cell r="L182" t="str">
            <v>?</v>
          </cell>
          <cell r="M182" t="e">
            <v>#N/A</v>
          </cell>
          <cell r="N182" t="e">
            <v>#N/A</v>
          </cell>
          <cell r="O182" t="e">
            <v>#VALUE!</v>
          </cell>
        </row>
        <row r="183">
          <cell r="A183">
            <v>128</v>
          </cell>
          <cell r="B183">
            <v>7</v>
          </cell>
          <cell r="C183" t="str">
            <v>Marco de madera FJ de Pino al Ancho de Muro con Chambrana de 5cm en ambos lados, Medidas :</v>
          </cell>
          <cell r="D183" t="str">
            <v>3'0" x 7'0"</v>
          </cell>
          <cell r="E183" t="str">
            <v>MFJP3070-??-CH5</v>
          </cell>
          <cell r="F183" t="str">
            <v>Ligno</v>
          </cell>
          <cell r="G183" t="str">
            <v>SMU</v>
          </cell>
          <cell r="H183" t="str">
            <v>ligno</v>
          </cell>
          <cell r="I183">
            <v>0</v>
          </cell>
          <cell r="J183">
            <v>1.25</v>
          </cell>
          <cell r="K183">
            <v>0</v>
          </cell>
          <cell r="L183" t="str">
            <v>?</v>
          </cell>
          <cell r="M183" t="e">
            <v>#N/A</v>
          </cell>
          <cell r="N183" t="e">
            <v>#N/A</v>
          </cell>
          <cell r="O183" t="e">
            <v>#VALUE!</v>
          </cell>
        </row>
        <row r="184">
          <cell r="A184">
            <v>129</v>
          </cell>
          <cell r="B184">
            <v>7</v>
          </cell>
          <cell r="C184" t="str">
            <v xml:space="preserve">Marco de madera FJ de Pino de 10 cms de ancho con Moldura rinconera en ambos lados, Medidas : </v>
          </cell>
          <cell r="D184" t="str">
            <v>3'0" x 7'0"</v>
          </cell>
          <cell r="E184" t="str">
            <v>MFJP3070-10-MR</v>
          </cell>
          <cell r="F184" t="str">
            <v>Ligno</v>
          </cell>
          <cell r="G184" t="str">
            <v>SMU</v>
          </cell>
          <cell r="H184" t="str">
            <v>ligno</v>
          </cell>
          <cell r="I184">
            <v>28.55</v>
          </cell>
          <cell r="J184">
            <v>1.25</v>
          </cell>
          <cell r="K184">
            <v>35.6875</v>
          </cell>
          <cell r="L184" t="str">
            <v>?</v>
          </cell>
          <cell r="M184" t="e">
            <v>#N/A</v>
          </cell>
          <cell r="N184" t="e">
            <v>#N/A</v>
          </cell>
          <cell r="O184" t="e">
            <v>#VALUE!</v>
          </cell>
        </row>
        <row r="185">
          <cell r="A185">
            <v>130</v>
          </cell>
          <cell r="B185">
            <v>7</v>
          </cell>
          <cell r="C185" t="str">
            <v>Marco de madera FJ de Pino de 10 cms de ancho con Chambrana de 5cm en ambos lados, Medidas :</v>
          </cell>
          <cell r="D185" t="str">
            <v>2'8" x 7'0"</v>
          </cell>
          <cell r="E185" t="str">
            <v>MFJP2870-10-CH5</v>
          </cell>
          <cell r="F185" t="str">
            <v>Ligno</v>
          </cell>
          <cell r="G185" t="str">
            <v>SMU</v>
          </cell>
          <cell r="H185" t="str">
            <v>ligno</v>
          </cell>
          <cell r="I185">
            <v>0</v>
          </cell>
          <cell r="J185">
            <v>1.25</v>
          </cell>
          <cell r="K185">
            <v>0</v>
          </cell>
          <cell r="L185" t="str">
            <v>?</v>
          </cell>
          <cell r="M185" t="e">
            <v>#N/A</v>
          </cell>
          <cell r="N185" t="e">
            <v>#N/A</v>
          </cell>
          <cell r="O185" t="e">
            <v>#VALUE!</v>
          </cell>
        </row>
        <row r="186">
          <cell r="A186">
            <v>131</v>
          </cell>
          <cell r="B186">
            <v>7</v>
          </cell>
          <cell r="C186" t="str">
            <v xml:space="preserve">Marco de madera FJ de Pino de 10 cms de ancho con Moldura rinconera en ambos lados, Medidas : </v>
          </cell>
          <cell r="D186" t="str">
            <v>2'8" x 7'0"</v>
          </cell>
          <cell r="E186" t="str">
            <v>MFJP2870-10-MR</v>
          </cell>
          <cell r="F186" t="str">
            <v>Ligno</v>
          </cell>
          <cell r="G186" t="str">
            <v>SMU</v>
          </cell>
          <cell r="H186" t="str">
            <v>ligno</v>
          </cell>
          <cell r="I186">
            <v>28.55</v>
          </cell>
          <cell r="J186">
            <v>1.25</v>
          </cell>
          <cell r="K186">
            <v>35.6875</v>
          </cell>
          <cell r="L186" t="str">
            <v>?</v>
          </cell>
          <cell r="M186" t="e">
            <v>#N/A</v>
          </cell>
          <cell r="N186" t="e">
            <v>#N/A</v>
          </cell>
          <cell r="O186" t="e">
            <v>#VALUE!</v>
          </cell>
        </row>
        <row r="187">
          <cell r="A187">
            <v>132</v>
          </cell>
          <cell r="B187">
            <v>7</v>
          </cell>
          <cell r="C187" t="str">
            <v>Marco de madera FJ de Pino de 10 cms de ancho con Chambrana de 5cm en ambos lados, Medidas :</v>
          </cell>
          <cell r="D187" t="str">
            <v>2'6" x 7'0"</v>
          </cell>
          <cell r="E187" t="str">
            <v>MFJP2670-10-CH5</v>
          </cell>
          <cell r="F187" t="str">
            <v>Ligno</v>
          </cell>
          <cell r="G187" t="str">
            <v>SMU</v>
          </cell>
          <cell r="H187" t="str">
            <v>ligno</v>
          </cell>
          <cell r="I187">
            <v>0</v>
          </cell>
          <cell r="J187">
            <v>1.25</v>
          </cell>
          <cell r="K187">
            <v>0</v>
          </cell>
          <cell r="L187" t="str">
            <v>?</v>
          </cell>
          <cell r="M187" t="e">
            <v>#N/A</v>
          </cell>
          <cell r="N187" t="e">
            <v>#N/A</v>
          </cell>
          <cell r="O187" t="e">
            <v>#VALUE!</v>
          </cell>
        </row>
        <row r="188">
          <cell r="A188">
            <v>133</v>
          </cell>
          <cell r="B188">
            <v>7</v>
          </cell>
          <cell r="C188" t="str">
            <v xml:space="preserve">Marco de madera FJ de Pino de 10 cms de ancho con Moldura rinconera en ambos lados, Medidas : </v>
          </cell>
          <cell r="D188" t="str">
            <v>2'6" x 7'0"</v>
          </cell>
          <cell r="E188" t="str">
            <v>MFJP2670-10-MR</v>
          </cell>
          <cell r="F188" t="str">
            <v>Ligno</v>
          </cell>
          <cell r="G188" t="str">
            <v>SMU</v>
          </cell>
          <cell r="H188" t="str">
            <v>ligno</v>
          </cell>
          <cell r="I188">
            <v>28.55</v>
          </cell>
          <cell r="J188">
            <v>1.25</v>
          </cell>
          <cell r="K188">
            <v>35.6875</v>
          </cell>
          <cell r="L188" t="str">
            <v>?</v>
          </cell>
          <cell r="M188" t="e">
            <v>#N/A</v>
          </cell>
          <cell r="N188" t="e">
            <v>#N/A</v>
          </cell>
          <cell r="O188" t="e">
            <v>#VALUE!</v>
          </cell>
        </row>
        <row r="189">
          <cell r="A189">
            <v>134</v>
          </cell>
          <cell r="B189">
            <v>7</v>
          </cell>
          <cell r="C189" t="str">
            <v>Marco de madera Encino de 15 cms de ancho con Chambrana de 5cm en ambos lados, Medidas :</v>
          </cell>
          <cell r="D189" t="str">
            <v>1.80 x 2.20</v>
          </cell>
          <cell r="E189" t="str">
            <v>MMENC180220-15-CH5</v>
          </cell>
          <cell r="F189" t="str">
            <v>Ligno</v>
          </cell>
          <cell r="G189" t="str">
            <v>SMU</v>
          </cell>
          <cell r="H189" t="str">
            <v>ligno</v>
          </cell>
          <cell r="I189">
            <v>150.54</v>
          </cell>
          <cell r="J189">
            <v>1.25</v>
          </cell>
          <cell r="K189">
            <v>188.17499999999998</v>
          </cell>
          <cell r="L189" t="str">
            <v>?</v>
          </cell>
          <cell r="M189" t="e">
            <v>#N/A</v>
          </cell>
          <cell r="N189" t="e">
            <v>#N/A</v>
          </cell>
          <cell r="O189" t="e">
            <v>#VALUE!</v>
          </cell>
        </row>
        <row r="190">
          <cell r="A190">
            <v>135</v>
          </cell>
          <cell r="B190">
            <v>7</v>
          </cell>
          <cell r="C190" t="str">
            <v>Marco de madera Encino de 15 cms de ancho con Chambrana de 5cm en ambos lados, Medidas :</v>
          </cell>
          <cell r="D190" t="str">
            <v>0.95 x 2.20</v>
          </cell>
          <cell r="E190" t="str">
            <v>MMENC95220-15-CH5</v>
          </cell>
          <cell r="F190" t="str">
            <v>Ligno</v>
          </cell>
          <cell r="G190" t="str">
            <v>SMU</v>
          </cell>
          <cell r="H190" t="str">
            <v>ligno</v>
          </cell>
          <cell r="I190">
            <v>115.8</v>
          </cell>
          <cell r="J190">
            <v>1.25</v>
          </cell>
          <cell r="K190">
            <v>144.75</v>
          </cell>
          <cell r="L190" t="str">
            <v>?</v>
          </cell>
          <cell r="M190" t="e">
            <v>#N/A</v>
          </cell>
          <cell r="N190" t="e">
            <v>#N/A</v>
          </cell>
          <cell r="O190" t="e">
            <v>#VALUE!</v>
          </cell>
        </row>
        <row r="191">
          <cell r="A191" t="str">
            <v>135a</v>
          </cell>
          <cell r="B191">
            <v>7</v>
          </cell>
          <cell r="C191" t="str">
            <v>Marco de madera Encino de 10 cms de ancho con Moldura Rinconera por ambos Lados, Medidas :</v>
          </cell>
          <cell r="D191" t="str">
            <v>0.75 x 2.20</v>
          </cell>
          <cell r="E191" t="str">
            <v>MMENC75220-10-MR5</v>
          </cell>
          <cell r="F191" t="str">
            <v>Ligno</v>
          </cell>
          <cell r="G191" t="str">
            <v>SMU</v>
          </cell>
          <cell r="H191" t="str">
            <v>ligno</v>
          </cell>
          <cell r="I191">
            <v>75</v>
          </cell>
          <cell r="J191">
            <v>1.25</v>
          </cell>
          <cell r="K191">
            <v>93.75</v>
          </cell>
          <cell r="L191" t="str">
            <v>?</v>
          </cell>
          <cell r="M191" t="e">
            <v>#N/A</v>
          </cell>
          <cell r="N191" t="e">
            <v>#N/A</v>
          </cell>
          <cell r="O191" t="e">
            <v>#VALUE!</v>
          </cell>
        </row>
        <row r="192">
          <cell r="A192" t="str">
            <v>135B</v>
          </cell>
          <cell r="B192">
            <v>7</v>
          </cell>
          <cell r="C192" t="str">
            <v>Marco de madera Encino de 10 cms de ancho con Moldura Rinconera por ambos Lados, Medidas :</v>
          </cell>
          <cell r="D192" t="str">
            <v>0.95 x 3.00</v>
          </cell>
          <cell r="E192" t="str">
            <v>MMENC95300-10-MR5</v>
          </cell>
          <cell r="F192" t="str">
            <v>Ligno</v>
          </cell>
          <cell r="G192" t="str">
            <v>SMU</v>
          </cell>
          <cell r="H192" t="str">
            <v>ligno</v>
          </cell>
          <cell r="I192">
            <v>110</v>
          </cell>
          <cell r="J192">
            <v>1.25</v>
          </cell>
          <cell r="K192">
            <v>137.5</v>
          </cell>
          <cell r="L192" t="str">
            <v>?</v>
          </cell>
          <cell r="M192" t="e">
            <v>#N/A</v>
          </cell>
          <cell r="N192" t="e">
            <v>#N/A</v>
          </cell>
          <cell r="O192" t="e">
            <v>#VALUE!</v>
          </cell>
        </row>
        <row r="193">
          <cell r="A193" t="e">
            <v>#N/A</v>
          </cell>
          <cell r="B193">
            <v>7</v>
          </cell>
          <cell r="C193" t="e">
            <v>#N/A</v>
          </cell>
          <cell r="D193" t="str">
            <v>2'6" x 6'8"</v>
          </cell>
          <cell r="E193" t="str">
            <v>?</v>
          </cell>
          <cell r="F193" t="str">
            <v>?</v>
          </cell>
          <cell r="G193" t="str">
            <v>?</v>
          </cell>
          <cell r="H193" t="str">
            <v>?</v>
          </cell>
          <cell r="I193" t="str">
            <v>?</v>
          </cell>
          <cell r="J193">
            <v>1.25</v>
          </cell>
          <cell r="K193" t="e">
            <v>#VALUE!</v>
          </cell>
          <cell r="L193" t="str">
            <v>?</v>
          </cell>
          <cell r="M193" t="e">
            <v>#N/A</v>
          </cell>
          <cell r="N193" t="e">
            <v>#N/A</v>
          </cell>
          <cell r="O193" t="e">
            <v>#VALUE!</v>
          </cell>
        </row>
        <row r="194">
          <cell r="A194" t="str">
            <v>126D</v>
          </cell>
          <cell r="B194">
            <v>7</v>
          </cell>
          <cell r="C194" t="e">
            <v>#N/A</v>
          </cell>
          <cell r="D194" t="str">
            <v>3'10" x 6'10"</v>
          </cell>
          <cell r="E194" t="str">
            <v>?</v>
          </cell>
          <cell r="F194" t="str">
            <v>?</v>
          </cell>
          <cell r="G194" t="str">
            <v>?</v>
          </cell>
          <cell r="H194" t="str">
            <v>?</v>
          </cell>
          <cell r="I194" t="str">
            <v>?</v>
          </cell>
          <cell r="J194">
            <v>1.25</v>
          </cell>
          <cell r="K194" t="e">
            <v>#VALUE!</v>
          </cell>
          <cell r="L194" t="str">
            <v>?</v>
          </cell>
          <cell r="M194" t="e">
            <v>#N/A</v>
          </cell>
          <cell r="N194" t="e">
            <v>#N/A</v>
          </cell>
          <cell r="O194" t="e">
            <v>#VALUE!</v>
          </cell>
        </row>
        <row r="195">
          <cell r="A195" t="str">
            <v>126E</v>
          </cell>
          <cell r="B195">
            <v>7</v>
          </cell>
          <cell r="C195" t="e">
            <v>#N/A</v>
          </cell>
          <cell r="D195" t="str">
            <v>3'0" x 9'10"</v>
          </cell>
          <cell r="E195" t="str">
            <v>?</v>
          </cell>
          <cell r="F195" t="str">
            <v>?</v>
          </cell>
          <cell r="G195" t="str">
            <v>?</v>
          </cell>
          <cell r="H195" t="str">
            <v>?</v>
          </cell>
          <cell r="I195" t="str">
            <v>?</v>
          </cell>
          <cell r="J195">
            <v>1.25</v>
          </cell>
          <cell r="K195" t="e">
            <v>#VALUE!</v>
          </cell>
          <cell r="L195" t="str">
            <v>?</v>
          </cell>
          <cell r="M195" t="e">
            <v>#N/A</v>
          </cell>
          <cell r="N195" t="e">
            <v>#N/A</v>
          </cell>
          <cell r="O195" t="e">
            <v>#VALUE!</v>
          </cell>
        </row>
        <row r="199">
          <cell r="C199" t="str">
            <v>BISAGRAS HAGER</v>
          </cell>
        </row>
        <row r="200">
          <cell r="A200">
            <v>136</v>
          </cell>
          <cell r="B200">
            <v>8</v>
          </cell>
          <cell r="C200" t="str">
            <v xml:space="preserve">Bisagra de Balero, Marca Hager, acabado cromo satinado Medidas: </v>
          </cell>
          <cell r="D200" t="str">
            <v>4.5" x 4.5"</v>
          </cell>
          <cell r="E200" t="str">
            <v>BB1279-4.5</v>
          </cell>
          <cell r="F200" t="str">
            <v>Hager</v>
          </cell>
          <cell r="G200" t="str">
            <v>US26D</v>
          </cell>
          <cell r="H200" t="str">
            <v>Hager</v>
          </cell>
          <cell r="I200">
            <v>10.98</v>
          </cell>
          <cell r="J200">
            <v>0.55000000000000004</v>
          </cell>
          <cell r="K200">
            <v>6.0390000000000006</v>
          </cell>
          <cell r="L200" t="e">
            <v>#N/A</v>
          </cell>
          <cell r="M200" t="e">
            <v>#N/A</v>
          </cell>
          <cell r="N200" t="e">
            <v>#N/A</v>
          </cell>
          <cell r="O200" t="e">
            <v>#N/A</v>
          </cell>
          <cell r="P200" t="str">
            <v>104-001</v>
          </cell>
        </row>
        <row r="201">
          <cell r="A201">
            <v>137</v>
          </cell>
          <cell r="B201">
            <v>8</v>
          </cell>
          <cell r="C201" t="str">
            <v xml:space="preserve">Bisagra Plana, Marca Hager, acabado cromo satinado Medidas: </v>
          </cell>
          <cell r="D201" t="str">
            <v>4.5" x 4.5"</v>
          </cell>
          <cell r="E201" t="str">
            <v>PB1279-4.5</v>
          </cell>
          <cell r="F201" t="str">
            <v>Hager</v>
          </cell>
          <cell r="G201" t="str">
            <v>US26D</v>
          </cell>
          <cell r="H201" t="str">
            <v>Hager</v>
          </cell>
          <cell r="I201">
            <v>6.06</v>
          </cell>
          <cell r="J201">
            <v>0.55000000000000004</v>
          </cell>
          <cell r="K201">
            <v>3.3330000000000002</v>
          </cell>
          <cell r="L201" t="e">
            <v>#N/A</v>
          </cell>
          <cell r="M201" t="e">
            <v>#N/A</v>
          </cell>
          <cell r="N201" t="e">
            <v>#N/A</v>
          </cell>
          <cell r="O201" t="e">
            <v>#N/A</v>
          </cell>
          <cell r="P201" t="str">
            <v>107-02</v>
          </cell>
        </row>
        <row r="202">
          <cell r="A202">
            <v>138</v>
          </cell>
          <cell r="B202">
            <v>8</v>
          </cell>
          <cell r="C202" t="str">
            <v xml:space="preserve">Bisagra de Balero, Marca Hager, acabado cromo satinado Medidas: </v>
          </cell>
          <cell r="D202" t="str">
            <v xml:space="preserve">3.5" x 3.5" </v>
          </cell>
          <cell r="E202" t="str">
            <v>BB1279-3.5</v>
          </cell>
          <cell r="F202" t="str">
            <v>Hager</v>
          </cell>
          <cell r="G202" t="str">
            <v>US26D</v>
          </cell>
          <cell r="H202" t="str">
            <v>Hager</v>
          </cell>
          <cell r="I202">
            <v>9.52</v>
          </cell>
          <cell r="J202">
            <v>0.8</v>
          </cell>
          <cell r="K202">
            <v>7.6159999999999997</v>
          </cell>
          <cell r="L202" t="e">
            <v>#N/A</v>
          </cell>
          <cell r="M202" t="e">
            <v>#N/A</v>
          </cell>
          <cell r="N202" t="e">
            <v>#N/A</v>
          </cell>
          <cell r="O202" t="e">
            <v>#N/A</v>
          </cell>
          <cell r="P202" t="str">
            <v>107-02</v>
          </cell>
        </row>
        <row r="203">
          <cell r="A203">
            <v>139</v>
          </cell>
          <cell r="B203">
            <v>8</v>
          </cell>
          <cell r="C203" t="str">
            <v xml:space="preserve">Bisagra Plana, Marca Hager, acabado cromo satinado Medidas: </v>
          </cell>
          <cell r="D203" t="str">
            <v xml:space="preserve">3.5" x 3.5" </v>
          </cell>
          <cell r="E203" t="str">
            <v>PB1279-3.5</v>
          </cell>
          <cell r="F203" t="str">
            <v>Hager</v>
          </cell>
          <cell r="G203" t="str">
            <v>US26D</v>
          </cell>
          <cell r="H203" t="str">
            <v>Hager</v>
          </cell>
          <cell r="I203">
            <v>4.3099999999999996</v>
          </cell>
          <cell r="J203">
            <v>0.8</v>
          </cell>
          <cell r="K203">
            <v>3.448</v>
          </cell>
          <cell r="L203" t="e">
            <v>#N/A</v>
          </cell>
          <cell r="M203" t="e">
            <v>#N/A</v>
          </cell>
          <cell r="N203" t="e">
            <v>#N/A</v>
          </cell>
          <cell r="O203" t="e">
            <v>#N/A</v>
          </cell>
          <cell r="P203" t="str">
            <v>107-02</v>
          </cell>
        </row>
        <row r="204">
          <cell r="A204">
            <v>140</v>
          </cell>
          <cell r="B204">
            <v>8</v>
          </cell>
          <cell r="C204" t="str">
            <v>Bisagra de Resorte, Marca Hager, acabado cromo satinado</v>
          </cell>
          <cell r="D204" t="str">
            <v>4.5" x 4.5"</v>
          </cell>
          <cell r="E204" t="e">
            <v>#N/A</v>
          </cell>
          <cell r="F204" t="str">
            <v>Hager</v>
          </cell>
          <cell r="G204" t="str">
            <v>US26D</v>
          </cell>
          <cell r="H204" t="str">
            <v>Hager</v>
          </cell>
          <cell r="I204">
            <v>17.07</v>
          </cell>
          <cell r="J204">
            <v>0.93</v>
          </cell>
          <cell r="K204">
            <v>15.875100000000002</v>
          </cell>
          <cell r="L204" t="e">
            <v>#N/A</v>
          </cell>
          <cell r="M204" t="e">
            <v>#N/A</v>
          </cell>
          <cell r="N204" t="e">
            <v>#N/A</v>
          </cell>
          <cell r="O204" t="e">
            <v>#N/A</v>
          </cell>
          <cell r="P204" t="str">
            <v>107-02</v>
          </cell>
        </row>
        <row r="205">
          <cell r="A205">
            <v>141</v>
          </cell>
          <cell r="B205">
            <v>8</v>
          </cell>
          <cell r="C205" t="str">
            <v>Bisagra de Resorte, Marca Hager, acabado cromo satinado</v>
          </cell>
          <cell r="D205" t="str">
            <v xml:space="preserve">3.5" x 3.5" </v>
          </cell>
          <cell r="E205" t="e">
            <v>#N/A</v>
          </cell>
          <cell r="F205" t="str">
            <v>Hager</v>
          </cell>
          <cell r="G205" t="str">
            <v>US26D</v>
          </cell>
          <cell r="H205" t="str">
            <v>Hager</v>
          </cell>
          <cell r="I205">
            <v>9.11</v>
          </cell>
          <cell r="J205">
            <v>0.93</v>
          </cell>
          <cell r="K205">
            <v>8.4723000000000006</v>
          </cell>
          <cell r="L205" t="e">
            <v>#N/A</v>
          </cell>
          <cell r="M205" t="e">
            <v>#N/A</v>
          </cell>
          <cell r="N205" t="e">
            <v>#N/A</v>
          </cell>
          <cell r="O205" t="e">
            <v>#N/A</v>
          </cell>
          <cell r="P205" t="str">
            <v>107-02</v>
          </cell>
        </row>
        <row r="207">
          <cell r="A207">
            <v>142</v>
          </cell>
          <cell r="B207">
            <v>8</v>
          </cell>
          <cell r="C207" t="str">
            <v xml:space="preserve">Bisagra de Balero, Marca Hager, acabado Laton satinado Medidas: </v>
          </cell>
          <cell r="D207" t="str">
            <v>4.5" x 4.5"</v>
          </cell>
          <cell r="E207" t="str">
            <v>BB1279-4.5</v>
          </cell>
          <cell r="F207" t="str">
            <v>Hager</v>
          </cell>
          <cell r="G207">
            <v>606</v>
          </cell>
          <cell r="H207" t="str">
            <v>Hager</v>
          </cell>
          <cell r="I207">
            <v>8.84</v>
          </cell>
          <cell r="J207">
            <v>0.55000000000000004</v>
          </cell>
          <cell r="K207">
            <v>4.8620000000000001</v>
          </cell>
          <cell r="L207" t="e">
            <v>#N/A</v>
          </cell>
          <cell r="M207" t="e">
            <v>#N/A</v>
          </cell>
          <cell r="N207" t="e">
            <v>#N/A</v>
          </cell>
          <cell r="O207" t="e">
            <v>#N/A</v>
          </cell>
          <cell r="P207" t="str">
            <v>104-001</v>
          </cell>
        </row>
        <row r="208">
          <cell r="A208">
            <v>143</v>
          </cell>
          <cell r="B208">
            <v>8</v>
          </cell>
          <cell r="C208" t="str">
            <v xml:space="preserve">Bisagra Plana, Marca Hager, acabado Laton satinado Medidas: </v>
          </cell>
          <cell r="D208" t="str">
            <v>4.5" x 4.5"</v>
          </cell>
          <cell r="E208" t="str">
            <v>PB1279-4.5</v>
          </cell>
          <cell r="F208" t="str">
            <v>Hager</v>
          </cell>
          <cell r="G208">
            <v>606</v>
          </cell>
          <cell r="H208" t="str">
            <v>Hager</v>
          </cell>
          <cell r="I208">
            <v>4.0199999999999996</v>
          </cell>
          <cell r="J208">
            <v>0.55000000000000004</v>
          </cell>
          <cell r="K208">
            <v>2.2109999999999999</v>
          </cell>
          <cell r="L208" t="e">
            <v>#N/A</v>
          </cell>
          <cell r="M208" t="e">
            <v>#N/A</v>
          </cell>
          <cell r="N208" t="e">
            <v>#N/A</v>
          </cell>
          <cell r="O208" t="e">
            <v>#N/A</v>
          </cell>
          <cell r="P208" t="str">
            <v>107-02</v>
          </cell>
        </row>
        <row r="209">
          <cell r="A209">
            <v>144</v>
          </cell>
          <cell r="B209">
            <v>8</v>
          </cell>
          <cell r="C209" t="str">
            <v xml:space="preserve">Bisagra de Balero, Marca Hager, acabado Laton satinado Medidas: </v>
          </cell>
          <cell r="D209" t="str">
            <v xml:space="preserve">3.5" x 3.5" </v>
          </cell>
          <cell r="E209" t="str">
            <v>BB1279-3.5</v>
          </cell>
          <cell r="F209" t="str">
            <v>Hager</v>
          </cell>
          <cell r="G209">
            <v>606</v>
          </cell>
          <cell r="H209" t="str">
            <v>Hager</v>
          </cell>
          <cell r="I209">
            <v>7.27</v>
          </cell>
          <cell r="J209">
            <v>0.8</v>
          </cell>
          <cell r="K209">
            <v>5.8159999999999998</v>
          </cell>
          <cell r="L209" t="e">
            <v>#N/A</v>
          </cell>
          <cell r="M209" t="e">
            <v>#N/A</v>
          </cell>
          <cell r="N209" t="e">
            <v>#N/A</v>
          </cell>
          <cell r="O209" t="e">
            <v>#N/A</v>
          </cell>
          <cell r="P209" t="str">
            <v>107-02</v>
          </cell>
        </row>
        <row r="210">
          <cell r="A210">
            <v>145</v>
          </cell>
          <cell r="B210">
            <v>8</v>
          </cell>
          <cell r="C210" t="str">
            <v xml:space="preserve">Bisagra Plana, Marca Hager, acabado Laton satinado Medidas: </v>
          </cell>
          <cell r="D210" t="str">
            <v xml:space="preserve">3.5" x 3.5" </v>
          </cell>
          <cell r="E210" t="str">
            <v>PB1279-3.5</v>
          </cell>
          <cell r="F210" t="str">
            <v>Hager</v>
          </cell>
          <cell r="G210">
            <v>606</v>
          </cell>
          <cell r="H210" t="str">
            <v>Hager</v>
          </cell>
          <cell r="I210">
            <v>2.0499999999999998</v>
          </cell>
          <cell r="J210">
            <v>0.8</v>
          </cell>
          <cell r="K210">
            <v>1.64</v>
          </cell>
          <cell r="L210" t="e">
            <v>#N/A</v>
          </cell>
          <cell r="M210" t="e">
            <v>#N/A</v>
          </cell>
          <cell r="N210" t="e">
            <v>#N/A</v>
          </cell>
          <cell r="O210" t="e">
            <v>#N/A</v>
          </cell>
          <cell r="P210" t="str">
            <v>107-02</v>
          </cell>
        </row>
        <row r="211">
          <cell r="A211">
            <v>146</v>
          </cell>
          <cell r="B211">
            <v>8</v>
          </cell>
          <cell r="C211" t="str">
            <v>Bisagra de Resorte, Marca Hager, acabado Laton satinado</v>
          </cell>
          <cell r="D211" t="str">
            <v>4.5" x 4.5"</v>
          </cell>
          <cell r="E211" t="e">
            <v>#N/A</v>
          </cell>
          <cell r="F211" t="str">
            <v>Hager</v>
          </cell>
          <cell r="G211">
            <v>606</v>
          </cell>
          <cell r="H211" t="str">
            <v>Hager</v>
          </cell>
          <cell r="I211">
            <v>13.86</v>
          </cell>
          <cell r="J211">
            <v>0.93</v>
          </cell>
          <cell r="K211">
            <v>12.889800000000001</v>
          </cell>
          <cell r="L211" t="e">
            <v>#N/A</v>
          </cell>
          <cell r="M211" t="e">
            <v>#N/A</v>
          </cell>
          <cell r="N211" t="e">
            <v>#N/A</v>
          </cell>
          <cell r="O211" t="e">
            <v>#N/A</v>
          </cell>
          <cell r="P211" t="str">
            <v>107-02</v>
          </cell>
        </row>
        <row r="212">
          <cell r="A212">
            <v>147</v>
          </cell>
          <cell r="B212">
            <v>8</v>
          </cell>
          <cell r="C212" t="str">
            <v>Bisagra de Resorte, Marca Hager, acabado Laton satinado</v>
          </cell>
          <cell r="D212" t="str">
            <v xml:space="preserve">3.5" x 3.5" </v>
          </cell>
          <cell r="E212" t="e">
            <v>#N/A</v>
          </cell>
          <cell r="F212" t="str">
            <v>Hager</v>
          </cell>
          <cell r="G212">
            <v>606</v>
          </cell>
          <cell r="H212" t="str">
            <v>Hager</v>
          </cell>
          <cell r="I212">
            <v>6.93</v>
          </cell>
          <cell r="J212">
            <v>0.93</v>
          </cell>
          <cell r="K212">
            <v>6.4449000000000005</v>
          </cell>
          <cell r="L212" t="e">
            <v>#N/A</v>
          </cell>
          <cell r="M212" t="e">
            <v>#N/A</v>
          </cell>
          <cell r="N212" t="e">
            <v>#N/A</v>
          </cell>
          <cell r="O212" t="e">
            <v>#N/A</v>
          </cell>
          <cell r="P212" t="str">
            <v>107-02</v>
          </cell>
        </row>
        <row r="213">
          <cell r="C213" t="str">
            <v>BISAGRAS PBB</v>
          </cell>
        </row>
        <row r="214">
          <cell r="A214">
            <v>148</v>
          </cell>
          <cell r="B214">
            <v>9</v>
          </cell>
          <cell r="C214" t="str">
            <v xml:space="preserve">Bisagra de Balero, Marca PBB, acabado cromo satinado Medidas: </v>
          </cell>
          <cell r="D214" t="str">
            <v>4.5" x 4.5"</v>
          </cell>
          <cell r="E214" t="str">
            <v>BB1279-4.5</v>
          </cell>
          <cell r="F214" t="str">
            <v>PBB</v>
          </cell>
          <cell r="G214" t="str">
            <v>US26D</v>
          </cell>
          <cell r="H214" t="str">
            <v>PBB</v>
          </cell>
          <cell r="I214">
            <v>3.3</v>
          </cell>
          <cell r="J214">
            <v>1.25</v>
          </cell>
          <cell r="K214">
            <v>4.125</v>
          </cell>
          <cell r="L214" t="e">
            <v>#N/A</v>
          </cell>
          <cell r="M214" t="e">
            <v>#N/A</v>
          </cell>
          <cell r="N214" t="e">
            <v>#N/A</v>
          </cell>
          <cell r="O214" t="e">
            <v>#N/A</v>
          </cell>
          <cell r="P214" t="str">
            <v>104-001</v>
          </cell>
        </row>
        <row r="215">
          <cell r="A215">
            <v>149</v>
          </cell>
          <cell r="B215">
            <v>9</v>
          </cell>
          <cell r="C215" t="str">
            <v xml:space="preserve">Bisagra Plana, Marca PBB, acabado cromo satinado Medidas: </v>
          </cell>
          <cell r="D215" t="str">
            <v>4.5" x 4.5"</v>
          </cell>
          <cell r="E215" t="str">
            <v>PB1279-4.5</v>
          </cell>
          <cell r="F215" t="str">
            <v>PBB</v>
          </cell>
          <cell r="G215" t="str">
            <v>US26D</v>
          </cell>
          <cell r="H215" t="str">
            <v>PBB</v>
          </cell>
          <cell r="I215">
            <v>2.48</v>
          </cell>
          <cell r="J215">
            <v>1.25</v>
          </cell>
          <cell r="K215">
            <v>3.1</v>
          </cell>
          <cell r="L215" t="e">
            <v>#N/A</v>
          </cell>
          <cell r="M215" t="e">
            <v>#N/A</v>
          </cell>
          <cell r="N215" t="e">
            <v>#N/A</v>
          </cell>
          <cell r="O215" t="e">
            <v>#N/A</v>
          </cell>
          <cell r="P215" t="str">
            <v>107-02</v>
          </cell>
        </row>
        <row r="216">
          <cell r="A216">
            <v>150</v>
          </cell>
          <cell r="B216">
            <v>9</v>
          </cell>
          <cell r="C216" t="str">
            <v xml:space="preserve">Bisagra de Balero, Marca PBB, acabado cromo satinado Medidas: </v>
          </cell>
          <cell r="D216" t="str">
            <v xml:space="preserve">3.5" x 3.5" </v>
          </cell>
          <cell r="E216" t="str">
            <v>BB1279-3.5</v>
          </cell>
          <cell r="F216" t="str">
            <v>PBB</v>
          </cell>
          <cell r="G216" t="str">
            <v>US26D</v>
          </cell>
          <cell r="H216" t="str">
            <v>PBB</v>
          </cell>
          <cell r="I216">
            <v>0</v>
          </cell>
          <cell r="J216">
            <v>1.25</v>
          </cell>
          <cell r="K216">
            <v>0</v>
          </cell>
          <cell r="L216" t="e">
            <v>#N/A</v>
          </cell>
          <cell r="M216" t="e">
            <v>#N/A</v>
          </cell>
          <cell r="N216" t="e">
            <v>#N/A</v>
          </cell>
          <cell r="O216" t="e">
            <v>#N/A</v>
          </cell>
          <cell r="P216" t="str">
            <v>107-02</v>
          </cell>
        </row>
        <row r="217">
          <cell r="A217">
            <v>151</v>
          </cell>
          <cell r="B217">
            <v>9</v>
          </cell>
          <cell r="C217" t="str">
            <v xml:space="preserve">Bisagra Plana, Marca PBB, acabado cromo satinado Medidas: </v>
          </cell>
          <cell r="D217" t="str">
            <v xml:space="preserve">3.5" x 3.5" </v>
          </cell>
          <cell r="E217" t="str">
            <v>PB1279-3.5</v>
          </cell>
          <cell r="F217" t="str">
            <v>PBB</v>
          </cell>
          <cell r="G217" t="str">
            <v>US26D</v>
          </cell>
          <cell r="H217" t="str">
            <v>PBB</v>
          </cell>
          <cell r="I217">
            <v>1.7</v>
          </cell>
          <cell r="J217">
            <v>1.25</v>
          </cell>
          <cell r="K217">
            <v>2.125</v>
          </cell>
          <cell r="L217" t="e">
            <v>#N/A</v>
          </cell>
          <cell r="M217" t="e">
            <v>#N/A</v>
          </cell>
          <cell r="N217" t="e">
            <v>#N/A</v>
          </cell>
          <cell r="O217" t="e">
            <v>#N/A</v>
          </cell>
          <cell r="P217" t="str">
            <v>107-02</v>
          </cell>
        </row>
        <row r="218">
          <cell r="A218">
            <v>152</v>
          </cell>
          <cell r="B218">
            <v>9</v>
          </cell>
          <cell r="C218" t="str">
            <v>Bisagra de Resorte, Marca PBⱂ愠慣慢潤挠潲潭猠瑡湩摡㱯_x0000_楂慳牧⁡敤搠扯敬愠捣潩</v>
          </cell>
          <cell r="D218" t="str">
            <v>4.5" x 4.5"</v>
          </cell>
          <cell r="E218" t="str">
            <v>SB1279-4.5</v>
          </cell>
          <cell r="F218" t="str">
            <v>PBB</v>
          </cell>
          <cell r="G218" t="str">
            <v>US26D</v>
          </cell>
          <cell r="H218" t="str">
            <v>PBB</v>
          </cell>
          <cell r="I218">
            <v>6</v>
          </cell>
          <cell r="J218">
            <v>1.25</v>
          </cell>
          <cell r="K218">
            <v>7.5</v>
          </cell>
          <cell r="L218" t="e">
            <v>#N/A</v>
          </cell>
          <cell r="M218" t="e">
            <v>#N/A</v>
          </cell>
          <cell r="N218" t="e">
            <v>#N/A</v>
          </cell>
          <cell r="O218" t="e">
            <v>#N/A</v>
          </cell>
          <cell r="P218" t="str">
            <v>107-02</v>
          </cell>
        </row>
        <row r="219">
          <cell r="A219">
            <v>153</v>
          </cell>
          <cell r="B219">
            <v>9</v>
          </cell>
          <cell r="C219" t="str">
            <v>Bisagra de Resorte, Marca PBⱂ愠慣慢潤挠潲潭猠瑡湩摡㱯_x0000_楂慳牧⁡敤搠扯敬愠捣潩</v>
          </cell>
          <cell r="D219" t="str">
            <v xml:space="preserve">3.5" x 3.5" </v>
          </cell>
          <cell r="E219" t="str">
            <v>SB1279-3.5</v>
          </cell>
          <cell r="F219" t="str">
            <v>PBB</v>
          </cell>
          <cell r="G219" t="str">
            <v>US26D</v>
          </cell>
          <cell r="H219" t="str">
            <v>PBB</v>
          </cell>
          <cell r="I219">
            <v>0</v>
          </cell>
          <cell r="J219">
            <v>1.25</v>
          </cell>
          <cell r="K219">
            <v>0</v>
          </cell>
          <cell r="L219" t="e">
            <v>#N/A</v>
          </cell>
          <cell r="M219" t="e">
            <v>#N/A</v>
          </cell>
          <cell r="N219" t="e">
            <v>#N/A</v>
          </cell>
          <cell r="O219" t="e">
            <v>#N/A</v>
          </cell>
          <cell r="P219" t="str">
            <v>107-02</v>
          </cell>
        </row>
        <row r="220">
          <cell r="C220" t="str">
            <v>BISAGRAS DE PISO VAIVEN</v>
          </cell>
        </row>
        <row r="221">
          <cell r="A221">
            <v>154</v>
          </cell>
          <cell r="B221">
            <v>10</v>
          </cell>
          <cell r="C221" t="str">
            <v>浯敭Ⱳ愠慣慢潤挠潲潭匠瑡湩摡࡯_x0000_∸⁸⸴∵_x0006_䈀浯敭䡲_x0000_楂慳牧⁡敤倠獩⁯慰慲倠敵瑲⁡敤嘠楡敶⁮慭捲⁡慔潣‬捡扡摡⁯楎敫⁬慓楴慮潤_x0008_吀㝁㜲䐭ю_x0000_䅔佃_x0004_唀ㅓ䤵_x0000_楂慳牧⁡敤倠獩⁯慰慲倠敵瑲⁡敤嘠楡敶⁮慭捲⁡慔潣‬捡扡摡⁯慌潴⁮牂汩慬瑮ࡥ_x0000_䅔㈷ⴷ䉐_x0003_唀㍓_x0006_㄀㜰〭䜳_x0000_楂慳牧⁡敤倠獩⁯慰慲倠敵瑲⁡敤嘠楡敶⁮慭捲⁡慔潣‬捡扡摡⁯慌潴⁮湁楴畧࡯_x0000_䅔㈷ⴷ䉁_x0003_唀㕓_x0006_㄀㜰〭䬴_x0000_楂慳牧⁡敤倠獩⁯慰慲倠敵瑲⁡敤嘠楡敶⁮慭捲⁡桐汩灩ⱳ愠慣慢潤䌠潲潭匠瑡湩摡ٯ_x0000_偂㔱〰_x0007_倀楨楬獰L䈀獩条慲搠⁥楐潳瀠牡⁡畐牥慴搠⁥慖癩湥洠牡慣倠楨楬獰‬捡扡摡</v>
          </cell>
          <cell r="D221" t="str">
            <v>8"x 4.5"</v>
          </cell>
          <cell r="E221" t="str">
            <v>3029-8 X 4.5</v>
          </cell>
          <cell r="F221" t="str">
            <v>Bommer</v>
          </cell>
          <cell r="G221" t="str">
            <v>US26D</v>
          </cell>
          <cell r="H221" t="str">
            <v>Bommer</v>
          </cell>
          <cell r="I221">
            <v>56.4</v>
          </cell>
          <cell r="J221">
            <v>0.56000000000000005</v>
          </cell>
          <cell r="K221">
            <v>31.584000000000003</v>
          </cell>
          <cell r="L221">
            <v>1</v>
          </cell>
          <cell r="M221">
            <v>1.1299999999999999</v>
          </cell>
          <cell r="N221">
            <v>1.05</v>
          </cell>
          <cell r="O221">
            <v>2113.5570624000002</v>
          </cell>
          <cell r="P221" t="str">
            <v>107-02</v>
          </cell>
        </row>
        <row r="222">
          <cell r="A222">
            <v>155</v>
          </cell>
          <cell r="B222">
            <v>10</v>
          </cell>
          <cell r="C222" t="str">
            <v>Bisagra de Piso para Puerta de Vaiven marca Taco, acabado Nikel Satinado</v>
          </cell>
          <cell r="E222" t="str">
            <v>TA727-DN</v>
          </cell>
          <cell r="F222" t="str">
            <v>TACO</v>
          </cell>
          <cell r="G222" t="str">
            <v>US15</v>
          </cell>
          <cell r="H222" t="str">
            <v>TACO</v>
          </cell>
          <cell r="I222">
            <v>34.880000000000003</v>
          </cell>
          <cell r="J222">
            <v>1.25</v>
          </cell>
          <cell r="K222">
            <v>43.6</v>
          </cell>
          <cell r="L222" t="e">
            <v>#N/A</v>
          </cell>
          <cell r="M222" t="e">
            <v>#N/A</v>
          </cell>
          <cell r="N222" t="e">
            <v>#N/A</v>
          </cell>
          <cell r="O222" t="e">
            <v>#N/A</v>
          </cell>
          <cell r="P222" t="str">
            <v>107-02</v>
          </cell>
        </row>
        <row r="223">
          <cell r="A223">
            <v>156</v>
          </cell>
          <cell r="B223">
            <v>10</v>
          </cell>
          <cell r="C223" t="str">
            <v>Bisagra de Piso para Puerta de Vaiven marca Taco, acabado Laton Brillante</v>
          </cell>
          <cell r="E223" t="str">
            <v>TA727-PB</v>
          </cell>
          <cell r="F223" t="str">
            <v>TACO</v>
          </cell>
          <cell r="G223" t="str">
            <v>US3</v>
          </cell>
          <cell r="H223" t="str">
            <v>TACO</v>
          </cell>
          <cell r="I223">
            <v>34.880000000000003</v>
          </cell>
          <cell r="J223">
            <v>1.25</v>
          </cell>
          <cell r="K223">
            <v>43.6</v>
          </cell>
          <cell r="L223" t="e">
            <v>#N/A</v>
          </cell>
          <cell r="M223" t="e">
            <v>#N/A</v>
          </cell>
          <cell r="N223" t="e">
            <v>#N/A</v>
          </cell>
          <cell r="O223" t="e">
            <v>#N/A</v>
          </cell>
          <cell r="P223" t="str">
            <v>107-03</v>
          </cell>
        </row>
        <row r="224">
          <cell r="A224">
            <v>157</v>
          </cell>
          <cell r="B224">
            <v>10</v>
          </cell>
          <cell r="C224" t="str">
            <v>Bisagra de Piso para Puerta de Vaiven marca Taco, acabado Laton Antiguo</v>
          </cell>
          <cell r="E224" t="str">
            <v>TA727-AB</v>
          </cell>
          <cell r="F224" t="str">
            <v>TACO</v>
          </cell>
          <cell r="G224" t="str">
            <v>US5</v>
          </cell>
          <cell r="H224" t="str">
            <v>TACO</v>
          </cell>
          <cell r="I224">
            <v>34.880000000000003</v>
          </cell>
          <cell r="J224">
            <v>1.25</v>
          </cell>
          <cell r="K224">
            <v>43.6</v>
          </cell>
          <cell r="L224" t="e">
            <v>#N/A</v>
          </cell>
          <cell r="M224" t="e">
            <v>#N/A</v>
          </cell>
          <cell r="N224" t="e">
            <v>#N/A</v>
          </cell>
          <cell r="O224" t="e">
            <v>#N/A</v>
          </cell>
          <cell r="P224" t="str">
            <v>107-04</v>
          </cell>
        </row>
        <row r="225">
          <cell r="A225">
            <v>158</v>
          </cell>
          <cell r="B225">
            <v>10</v>
          </cell>
          <cell r="C225" t="str">
            <v>Bisagra de Piso para Puerta de Vaiven marca Philips, acabado Cromo Satinado</v>
          </cell>
          <cell r="E225" t="str">
            <v>BP1500</v>
          </cell>
          <cell r="F225" t="str">
            <v>Philips</v>
          </cell>
          <cell r="G225" t="str">
            <v>US26D</v>
          </cell>
          <cell r="H225" t="str">
            <v>Philips</v>
          </cell>
          <cell r="I225">
            <v>11</v>
          </cell>
          <cell r="J225">
            <v>1.25</v>
          </cell>
          <cell r="K225">
            <v>13.75</v>
          </cell>
          <cell r="L225" t="e">
            <v>#N/A</v>
          </cell>
          <cell r="M225" t="e">
            <v>#N/A</v>
          </cell>
          <cell r="N225" t="e">
            <v>#N/A</v>
          </cell>
          <cell r="O225" t="e">
            <v>#N/A</v>
          </cell>
          <cell r="P225" t="str">
            <v>107-02</v>
          </cell>
        </row>
        <row r="226">
          <cell r="A226">
            <v>159</v>
          </cell>
          <cell r="B226">
            <v>10</v>
          </cell>
          <cell r="C226" t="str">
            <v>Bisagra de Piso para Puerta de Vaiven marca Philips, acabado Laton Brillante</v>
          </cell>
          <cell r="E226" t="str">
            <v>BP1500</v>
          </cell>
          <cell r="F226" t="str">
            <v>Philips</v>
          </cell>
          <cell r="G226" t="str">
            <v>US3</v>
          </cell>
          <cell r="H226" t="str">
            <v>Philips</v>
          </cell>
          <cell r="I226">
            <v>11</v>
          </cell>
          <cell r="J226">
            <v>1.25</v>
          </cell>
          <cell r="K226">
            <v>13.75</v>
          </cell>
          <cell r="L226" t="e">
            <v>#N/A</v>
          </cell>
          <cell r="M226" t="e">
            <v>#N/A</v>
          </cell>
          <cell r="N226" t="e">
            <v>#N/A</v>
          </cell>
          <cell r="O226" t="e">
            <v>#N/A</v>
          </cell>
          <cell r="P226" t="str">
            <v>107-03</v>
          </cell>
        </row>
        <row r="227">
          <cell r="A227">
            <v>160</v>
          </cell>
          <cell r="B227">
            <v>10</v>
          </cell>
          <cell r="C227" t="str">
            <v>Bisagra de Piso para Puerta de Vaiven marca Philips, acabado Laton Antiguo</v>
          </cell>
          <cell r="E227" t="str">
            <v>BP1500</v>
          </cell>
          <cell r="F227" t="str">
            <v>Philips</v>
          </cell>
          <cell r="G227" t="str">
            <v>US5</v>
          </cell>
          <cell r="H227" t="str">
            <v>Philips</v>
          </cell>
          <cell r="I227">
            <v>11</v>
          </cell>
          <cell r="J227">
            <v>1.25</v>
          </cell>
          <cell r="K227">
            <v>13.75</v>
          </cell>
          <cell r="L227" t="e">
            <v>#N/A</v>
          </cell>
          <cell r="M227" t="e">
            <v>#N/A</v>
          </cell>
          <cell r="N227" t="e">
            <v>#N/A</v>
          </cell>
          <cell r="O227" t="e">
            <v>#N/A</v>
          </cell>
          <cell r="P227" t="str">
            <v>107-04</v>
          </cell>
        </row>
        <row r="228">
          <cell r="C228" t="str">
            <v>TOPES HAGER</v>
          </cell>
        </row>
        <row r="229">
          <cell r="A229">
            <v>161</v>
          </cell>
          <cell r="B229">
            <v>11</v>
          </cell>
          <cell r="C229" t="str">
            <v>Tope de bisagra mod. CD212 marca Hager, acabado cromo satinado</v>
          </cell>
          <cell r="E229" t="str">
            <v>CD212</v>
          </cell>
          <cell r="F229" t="str">
            <v>Hager</v>
          </cell>
          <cell r="G229" t="str">
            <v>US26D</v>
          </cell>
          <cell r="H229" t="str">
            <v>Hager</v>
          </cell>
          <cell r="I229">
            <v>0.41</v>
          </cell>
          <cell r="J229">
            <v>0.99</v>
          </cell>
          <cell r="K229">
            <v>0.40589999999999998</v>
          </cell>
          <cell r="L229" t="e">
            <v>#N/A</v>
          </cell>
          <cell r="M229" t="e">
            <v>#N/A</v>
          </cell>
          <cell r="N229" t="e">
            <v>#N/A</v>
          </cell>
          <cell r="O229" t="e">
            <v>#N/A</v>
          </cell>
          <cell r="P229" t="str">
            <v>107-02</v>
          </cell>
        </row>
        <row r="230">
          <cell r="A230">
            <v>162</v>
          </cell>
          <cell r="B230">
            <v>11</v>
          </cell>
          <cell r="C230" t="str">
            <v>Tope  de pared mod. 232W  marca Hager. Acabado cromo satinado</v>
          </cell>
          <cell r="E230" t="str">
            <v>232W</v>
          </cell>
          <cell r="F230" t="str">
            <v>Hager</v>
          </cell>
          <cell r="G230">
            <v>606</v>
          </cell>
          <cell r="H230" t="str">
            <v>Hager</v>
          </cell>
          <cell r="I230">
            <v>1.1499999999999999</v>
          </cell>
          <cell r="J230">
            <v>1.63</v>
          </cell>
          <cell r="K230">
            <v>1.8744999999999998</v>
          </cell>
          <cell r="L230" t="e">
            <v>#N/A</v>
          </cell>
          <cell r="M230" t="e">
            <v>#N/A</v>
          </cell>
          <cell r="N230" t="e">
            <v>#N/A</v>
          </cell>
          <cell r="O230" t="e">
            <v>#N/A</v>
          </cell>
          <cell r="P230" t="str">
            <v>703-002</v>
          </cell>
        </row>
        <row r="231">
          <cell r="A231">
            <v>163</v>
          </cell>
          <cell r="B231">
            <v>11</v>
          </cell>
          <cell r="C231" t="str">
            <v>Tope Piso Mod. 243F. Marca Hager. Acabado cromo satinado</v>
          </cell>
          <cell r="E231" t="str">
            <v>243F</v>
          </cell>
          <cell r="F231" t="str">
            <v>Hager</v>
          </cell>
          <cell r="G231" t="str">
            <v>US26D</v>
          </cell>
          <cell r="H231" t="str">
            <v>Hager</v>
          </cell>
          <cell r="I231">
            <v>1.7</v>
          </cell>
          <cell r="J231">
            <v>1.63</v>
          </cell>
          <cell r="K231">
            <v>2.7709999999999999</v>
          </cell>
          <cell r="L231" t="e">
            <v>#N/A</v>
          </cell>
          <cell r="M231" t="e">
            <v>#N/A</v>
          </cell>
          <cell r="N231" t="e">
            <v>#N/A</v>
          </cell>
          <cell r="O231" t="e">
            <v>#N/A</v>
          </cell>
          <cell r="P231" t="str">
            <v>703-002</v>
          </cell>
        </row>
        <row r="232">
          <cell r="A232">
            <v>164</v>
          </cell>
          <cell r="B232">
            <v>11</v>
          </cell>
          <cell r="C232" t="str">
            <v>Tope  de pared mod. 230W  marca Hager. Acabado cromo satinado</v>
          </cell>
          <cell r="E232" t="str">
            <v>230W</v>
          </cell>
          <cell r="F232" t="str">
            <v>Hager</v>
          </cell>
          <cell r="G232" t="str">
            <v>US26D</v>
          </cell>
          <cell r="H232" t="str">
            <v>Hager</v>
          </cell>
          <cell r="I232">
            <v>2.4500000000000002</v>
          </cell>
          <cell r="J232">
            <v>1.63</v>
          </cell>
          <cell r="K232">
            <v>3.9935</v>
          </cell>
          <cell r="L232" t="e">
            <v>#N/A</v>
          </cell>
          <cell r="M232" t="e">
            <v>#N/A</v>
          </cell>
          <cell r="N232" t="e">
            <v>#N/A</v>
          </cell>
          <cell r="O232" t="e">
            <v>#N/A</v>
          </cell>
          <cell r="P232" t="str">
            <v>703-002</v>
          </cell>
        </row>
        <row r="233">
          <cell r="A233">
            <v>165</v>
          </cell>
          <cell r="B233">
            <v>11</v>
          </cell>
          <cell r="C233" t="str">
            <v>Tope  de pared mod. 232W  marca Hager. Acabado cromo satinado</v>
          </cell>
          <cell r="E233" t="str">
            <v>232W</v>
          </cell>
          <cell r="F233" t="str">
            <v>Hager</v>
          </cell>
          <cell r="G233" t="str">
            <v>US26D</v>
          </cell>
          <cell r="H233" t="str">
            <v>Hager</v>
          </cell>
          <cell r="I233">
            <v>1.1499999999999999</v>
          </cell>
          <cell r="J233">
            <v>1.63</v>
          </cell>
          <cell r="K233">
            <v>1.8744999999999998</v>
          </cell>
          <cell r="L233" t="e">
            <v>#N/A</v>
          </cell>
          <cell r="M233" t="e">
            <v>#N/A</v>
          </cell>
          <cell r="N233" t="e">
            <v>#N/A</v>
          </cell>
          <cell r="O233" t="e">
            <v>#N/A</v>
          </cell>
          <cell r="P233" t="str">
            <v>703-003</v>
          </cell>
        </row>
        <row r="234">
          <cell r="A234" t="str">
            <v>165a</v>
          </cell>
          <cell r="B234">
            <v>11</v>
          </cell>
          <cell r="C234" t="str">
            <v>Tope  de pared mod. 234W  marca Hager. Acabado cromo satinado</v>
          </cell>
          <cell r="E234" t="str">
            <v>234W</v>
          </cell>
          <cell r="F234" t="str">
            <v>Hager</v>
          </cell>
          <cell r="G234" t="str">
            <v>US26D</v>
          </cell>
          <cell r="H234" t="str">
            <v>Hager</v>
          </cell>
          <cell r="I234">
            <v>2.4500000000000002</v>
          </cell>
          <cell r="J234">
            <v>1.63</v>
          </cell>
          <cell r="K234">
            <v>3.9935</v>
          </cell>
          <cell r="L234" t="e">
            <v>#N/A</v>
          </cell>
          <cell r="M234" t="e">
            <v>#N/A</v>
          </cell>
          <cell r="N234" t="e">
            <v>#N/A</v>
          </cell>
          <cell r="O234" t="e">
            <v>#N/A</v>
          </cell>
          <cell r="P234" t="str">
            <v>703-003</v>
          </cell>
        </row>
        <row r="235">
          <cell r="A235">
            <v>166</v>
          </cell>
          <cell r="B235">
            <v>11</v>
          </cell>
          <cell r="C235" t="str">
            <v>Tope  de pared mod. 325W  marca Hager. Acabado cromo satinado</v>
          </cell>
          <cell r="E235" t="str">
            <v>325W</v>
          </cell>
          <cell r="F235" t="str">
            <v>Hager</v>
          </cell>
          <cell r="G235" t="str">
            <v>US26D</v>
          </cell>
          <cell r="H235" t="str">
            <v>Hager</v>
          </cell>
          <cell r="I235">
            <v>5.15</v>
          </cell>
          <cell r="J235">
            <v>0.73</v>
          </cell>
          <cell r="K235">
            <v>3.7595000000000001</v>
          </cell>
          <cell r="L235" t="e">
            <v>#N/A</v>
          </cell>
          <cell r="M235" t="e">
            <v>#N/A</v>
          </cell>
          <cell r="N235" t="e">
            <v>#N/A</v>
          </cell>
          <cell r="O235" t="e">
            <v>#N/A</v>
          </cell>
          <cell r="P235" t="str">
            <v>703-004</v>
          </cell>
        </row>
        <row r="237">
          <cell r="A237">
            <v>167</v>
          </cell>
          <cell r="B237">
            <v>11</v>
          </cell>
          <cell r="C237" t="str">
            <v>Tope de bisagra mod. CD212 marca Hager, acabado cromo satinado</v>
          </cell>
          <cell r="E237" t="str">
            <v>CD212</v>
          </cell>
          <cell r="F237" t="str">
            <v>Hager</v>
          </cell>
          <cell r="G237">
            <v>606</v>
          </cell>
          <cell r="H237" t="str">
            <v>Hager</v>
          </cell>
          <cell r="I237">
            <v>0.55000000000000004</v>
          </cell>
          <cell r="J237">
            <v>0.99</v>
          </cell>
          <cell r="K237">
            <v>0.54449999999999998</v>
          </cell>
          <cell r="L237" t="e">
            <v>#N/A</v>
          </cell>
          <cell r="M237" t="e">
            <v>#N/A</v>
          </cell>
          <cell r="N237" t="e">
            <v>#N/A</v>
          </cell>
          <cell r="O237" t="e">
            <v>#N/A</v>
          </cell>
          <cell r="P237" t="str">
            <v>107-02</v>
          </cell>
        </row>
        <row r="238">
          <cell r="A238">
            <v>168</v>
          </cell>
          <cell r="B238">
            <v>11</v>
          </cell>
          <cell r="C238" t="str">
            <v>Tope Piso Mod. 241F. Marca Hager. Acabado cromo satinado</v>
          </cell>
          <cell r="E238" t="str">
            <v>241F</v>
          </cell>
          <cell r="F238" t="str">
            <v>Hager</v>
          </cell>
          <cell r="G238" t="str">
            <v>US26D</v>
          </cell>
          <cell r="H238" t="str">
            <v>Hager</v>
          </cell>
          <cell r="I238">
            <v>1.5</v>
          </cell>
          <cell r="J238">
            <v>1.6859999999999999</v>
          </cell>
          <cell r="K238">
            <v>2.5289999999999999</v>
          </cell>
          <cell r="L238" t="e">
            <v>#N/A</v>
          </cell>
          <cell r="M238" t="e">
            <v>#N/A</v>
          </cell>
          <cell r="N238" t="e">
            <v>#N/A</v>
          </cell>
          <cell r="O238" t="e">
            <v>#N/A</v>
          </cell>
          <cell r="P238" t="str">
            <v>703-002</v>
          </cell>
        </row>
        <row r="239">
          <cell r="A239">
            <v>169</v>
          </cell>
          <cell r="B239">
            <v>11</v>
          </cell>
          <cell r="C239" t="str">
            <v>Tope Piso Mod. 243F. Marca Hager. Acabado cromo satinado</v>
          </cell>
          <cell r="E239" t="str">
            <v>243F</v>
          </cell>
          <cell r="F239" t="str">
            <v>Hager</v>
          </cell>
          <cell r="G239">
            <v>606</v>
          </cell>
          <cell r="H239" t="str">
            <v>Hager</v>
          </cell>
          <cell r="I239">
            <v>1.75</v>
          </cell>
          <cell r="J239">
            <v>1.63</v>
          </cell>
          <cell r="K239">
            <v>2.8525</v>
          </cell>
          <cell r="L239" t="e">
            <v>#N/A</v>
          </cell>
          <cell r="M239" t="e">
            <v>#N/A</v>
          </cell>
          <cell r="N239" t="e">
            <v>#N/A</v>
          </cell>
          <cell r="O239" t="e">
            <v>#N/A</v>
          </cell>
          <cell r="P239" t="str">
            <v>703-002</v>
          </cell>
        </row>
        <row r="240">
          <cell r="A240">
            <v>170</v>
          </cell>
          <cell r="B240">
            <v>11</v>
          </cell>
          <cell r="C240" t="str">
            <v>Tope  de pared mod. 230W  marca Hager. Acabado cromo satinado</v>
          </cell>
          <cell r="E240" t="str">
            <v>230W</v>
          </cell>
          <cell r="F240" t="str">
            <v>Hager</v>
          </cell>
          <cell r="G240">
            <v>606</v>
          </cell>
          <cell r="H240" t="str">
            <v>Hager</v>
          </cell>
          <cell r="I240">
            <v>2.7</v>
          </cell>
          <cell r="J240">
            <v>1.63</v>
          </cell>
          <cell r="K240">
            <v>4.4009999999999998</v>
          </cell>
          <cell r="L240" t="e">
            <v>#N/A</v>
          </cell>
          <cell r="M240" t="e">
            <v>#N/A</v>
          </cell>
          <cell r="N240" t="e">
            <v>#N/A</v>
          </cell>
          <cell r="O240" t="e">
            <v>#N/A</v>
          </cell>
          <cell r="P240" t="str">
            <v>703-002</v>
          </cell>
        </row>
        <row r="241">
          <cell r="A241">
            <v>171</v>
          </cell>
          <cell r="B241">
            <v>11</v>
          </cell>
          <cell r="C241" t="str">
            <v>Tope  de pared mod. 232W  marca Hager. Acabado cromo satinado</v>
          </cell>
          <cell r="E241" t="str">
            <v>232W</v>
          </cell>
          <cell r="F241" t="str">
            <v>Hager</v>
          </cell>
          <cell r="G241">
            <v>606</v>
          </cell>
          <cell r="H241" t="str">
            <v>Hager</v>
          </cell>
          <cell r="I241">
            <v>1.1499999999999999</v>
          </cell>
          <cell r="J241">
            <v>1.63</v>
          </cell>
          <cell r="K241">
            <v>1.8744999999999998</v>
          </cell>
          <cell r="L241" t="e">
            <v>#N/A</v>
          </cell>
          <cell r="M241" t="e">
            <v>#N/A</v>
          </cell>
          <cell r="N241" t="e">
            <v>#N/A</v>
          </cell>
          <cell r="O241" t="e">
            <v>#N/A</v>
          </cell>
          <cell r="P241" t="str">
            <v>703-003</v>
          </cell>
        </row>
        <row r="242">
          <cell r="A242">
            <v>172</v>
          </cell>
          <cell r="B242">
            <v>11</v>
          </cell>
          <cell r="C242" t="str">
            <v>Tope  de pared mod. 325W  marca Hager. Acabado cromo satinado</v>
          </cell>
          <cell r="E242" t="str">
            <v>325W</v>
          </cell>
          <cell r="F242" t="str">
            <v>Hager</v>
          </cell>
          <cell r="G242">
            <v>606</v>
          </cell>
          <cell r="H242" t="str">
            <v>Hager</v>
          </cell>
          <cell r="I242">
            <v>5.28</v>
          </cell>
          <cell r="J242">
            <v>0.73</v>
          </cell>
          <cell r="K242">
            <v>3.8544</v>
          </cell>
          <cell r="L242" t="e">
            <v>#N/A</v>
          </cell>
          <cell r="M242" t="e">
            <v>#N/A</v>
          </cell>
          <cell r="N242" t="e">
            <v>#N/A</v>
          </cell>
          <cell r="O242" t="e">
            <v>#N/A</v>
          </cell>
          <cell r="P242" t="str">
            <v>703-004</v>
          </cell>
        </row>
        <row r="243">
          <cell r="C243" t="str">
            <v>PASADORES DE SEG. Y AL CANTO</v>
          </cell>
        </row>
        <row r="244">
          <cell r="A244">
            <v>173</v>
          </cell>
          <cell r="B244">
            <v>12</v>
          </cell>
          <cell r="C244" t="str">
            <v>Tope  de piso mod. 7280 Focal marca Trimco acabado cromo satinado</v>
          </cell>
          <cell r="E244">
            <v>7280</v>
          </cell>
          <cell r="F244" t="str">
            <v>Trimco</v>
          </cell>
          <cell r="G244" t="str">
            <v>US26D</v>
          </cell>
          <cell r="H244" t="str">
            <v>Trimco</v>
          </cell>
          <cell r="I244">
            <v>18</v>
          </cell>
          <cell r="J244">
            <v>0.63</v>
          </cell>
          <cell r="K244">
            <v>11.34</v>
          </cell>
          <cell r="L244" t="e">
            <v>#N/A</v>
          </cell>
          <cell r="M244" t="e">
            <v>#N/A</v>
          </cell>
          <cell r="N244" t="e">
            <v>#N/A</v>
          </cell>
          <cell r="O244" t="e">
            <v>#N/A</v>
          </cell>
          <cell r="P244" t="str">
            <v>703-004</v>
          </cell>
        </row>
        <row r="245">
          <cell r="A245">
            <v>174</v>
          </cell>
          <cell r="B245">
            <v>12</v>
          </cell>
          <cell r="C245" t="str">
            <v xml:space="preserve">Silenciadores de Vinil para marco metalico marca Hager </v>
          </cell>
          <cell r="E245" t="str">
            <v>307D</v>
          </cell>
          <cell r="F245" t="str">
            <v>Hager</v>
          </cell>
          <cell r="G245" t="str">
            <v>Vinil</v>
          </cell>
          <cell r="H245" t="str">
            <v>Hager</v>
          </cell>
          <cell r="I245">
            <v>0.2</v>
          </cell>
          <cell r="J245">
            <v>0.73</v>
          </cell>
          <cell r="K245">
            <v>0.14599999999999999</v>
          </cell>
          <cell r="L245" t="e">
            <v>#N/A</v>
          </cell>
          <cell r="M245" t="e">
            <v>#N/A</v>
          </cell>
          <cell r="N245" t="e">
            <v>#N/A</v>
          </cell>
          <cell r="O245" t="e">
            <v>#N/A</v>
          </cell>
          <cell r="P245" t="str">
            <v>703-005</v>
          </cell>
        </row>
        <row r="246">
          <cell r="A246">
            <v>175</v>
          </cell>
          <cell r="B246">
            <v>12</v>
          </cell>
          <cell r="C246" t="str">
            <v>Pasador de seguridad marca  Hager mod. 274D acabado cromo satinado</v>
          </cell>
          <cell r="E246" t="str">
            <v>274D</v>
          </cell>
          <cell r="F246" t="str">
            <v>Hager</v>
          </cell>
          <cell r="G246" t="str">
            <v>US26D</v>
          </cell>
          <cell r="H246" t="str">
            <v>Hager</v>
          </cell>
          <cell r="I246">
            <v>21.63</v>
          </cell>
          <cell r="J246">
            <v>0.73</v>
          </cell>
          <cell r="K246">
            <v>15.789899999999999</v>
          </cell>
          <cell r="L246" t="e">
            <v>#N/A</v>
          </cell>
          <cell r="M246" t="e">
            <v>#N/A</v>
          </cell>
          <cell r="N246" t="e">
            <v>#N/A</v>
          </cell>
          <cell r="O246" t="e">
            <v>#N/A</v>
          </cell>
          <cell r="P246" t="str">
            <v>802-003</v>
          </cell>
        </row>
        <row r="247">
          <cell r="A247">
            <v>176</v>
          </cell>
          <cell r="B247">
            <v>12</v>
          </cell>
          <cell r="C247" t="str">
            <v>Pasador de seguridad marca  Hager mod. 274D acabado Laton Brillante</v>
          </cell>
          <cell r="E247" t="str">
            <v>274D</v>
          </cell>
          <cell r="F247" t="str">
            <v>Hager</v>
          </cell>
          <cell r="G247">
            <v>606</v>
          </cell>
          <cell r="H247" t="str">
            <v>Hager</v>
          </cell>
          <cell r="I247">
            <v>18.13</v>
          </cell>
          <cell r="J247">
            <v>0.73</v>
          </cell>
          <cell r="K247">
            <v>13.2349</v>
          </cell>
          <cell r="L247" t="e">
            <v>#N/A</v>
          </cell>
          <cell r="M247" t="e">
            <v>#N/A</v>
          </cell>
          <cell r="N247" t="e">
            <v>#N/A</v>
          </cell>
          <cell r="O247" t="e">
            <v>#N/A</v>
          </cell>
          <cell r="P247" t="str">
            <v>802-004</v>
          </cell>
        </row>
        <row r="248">
          <cell r="A248">
            <v>177</v>
          </cell>
          <cell r="B248">
            <v>12</v>
          </cell>
          <cell r="C248" t="str">
            <v>Pasador de seguridad marca  Hager mod. 1412 acabado Cromo satinado</v>
          </cell>
          <cell r="E248">
            <v>1412</v>
          </cell>
          <cell r="F248" t="str">
            <v>Hager</v>
          </cell>
          <cell r="G248" t="str">
            <v>US26D</v>
          </cell>
          <cell r="H248" t="str">
            <v>Hager</v>
          </cell>
          <cell r="I248">
            <v>2.8</v>
          </cell>
          <cell r="J248">
            <v>1.63</v>
          </cell>
          <cell r="K248">
            <v>4.5639999999999992</v>
          </cell>
          <cell r="L248" t="e">
            <v>#N/A</v>
          </cell>
          <cell r="M248" t="e">
            <v>#N/A</v>
          </cell>
          <cell r="N248" t="e">
            <v>#N/A</v>
          </cell>
          <cell r="O248" t="e">
            <v>#N/A</v>
          </cell>
          <cell r="P248" t="str">
            <v>802-005</v>
          </cell>
        </row>
        <row r="249">
          <cell r="A249">
            <v>178</v>
          </cell>
          <cell r="B249">
            <v>12</v>
          </cell>
          <cell r="C249" t="str">
            <v>Pasador de seguridad marca  Hager mod. 1412 acabado Laton Brillante</v>
          </cell>
          <cell r="E249">
            <v>1412</v>
          </cell>
          <cell r="F249" t="str">
            <v>Hager</v>
          </cell>
          <cell r="G249">
            <v>606</v>
          </cell>
          <cell r="H249" t="str">
            <v>Hager</v>
          </cell>
          <cell r="I249">
            <v>2.15</v>
          </cell>
          <cell r="J249">
            <v>1.63</v>
          </cell>
          <cell r="K249">
            <v>3.5044999999999997</v>
          </cell>
          <cell r="L249" t="e">
            <v>#N/A</v>
          </cell>
          <cell r="M249" t="e">
            <v>#N/A</v>
          </cell>
          <cell r="N249" t="e">
            <v>#N/A</v>
          </cell>
          <cell r="O249" t="e">
            <v>#N/A</v>
          </cell>
          <cell r="P249" t="str">
            <v>802-006</v>
          </cell>
        </row>
        <row r="250">
          <cell r="A250">
            <v>179</v>
          </cell>
          <cell r="B250">
            <v>12</v>
          </cell>
          <cell r="C250" t="str">
            <v>Mirilla marca Hager  modelo 1755 de 160 grados acabado cromo satinado</v>
          </cell>
          <cell r="E250">
            <v>1755</v>
          </cell>
          <cell r="F250" t="str">
            <v>Hager</v>
          </cell>
          <cell r="G250" t="str">
            <v>US26D</v>
          </cell>
          <cell r="H250" t="str">
            <v>Hager</v>
          </cell>
          <cell r="I250">
            <v>1.8</v>
          </cell>
          <cell r="J250">
            <v>1.63</v>
          </cell>
          <cell r="K250">
            <v>2.9339999999999997</v>
          </cell>
          <cell r="L250" t="e">
            <v>#N/A</v>
          </cell>
          <cell r="M250" t="e">
            <v>#N/A</v>
          </cell>
          <cell r="N250" t="e">
            <v>#N/A</v>
          </cell>
          <cell r="O250" t="e">
            <v>#N/A</v>
          </cell>
          <cell r="P250" t="str">
            <v>802-003</v>
          </cell>
        </row>
        <row r="251">
          <cell r="A251">
            <v>180</v>
          </cell>
          <cell r="B251">
            <v>12</v>
          </cell>
          <cell r="C251" t="str">
            <v>Mirilla marca Hager  modelo 1755 de 160 grados acabado Laton Brillante</v>
          </cell>
          <cell r="E251">
            <v>1755</v>
          </cell>
          <cell r="F251" t="str">
            <v>Hager</v>
          </cell>
          <cell r="G251">
            <v>606</v>
          </cell>
          <cell r="H251" t="str">
            <v>Hager</v>
          </cell>
          <cell r="I251">
            <v>1.6</v>
          </cell>
          <cell r="J251">
            <v>1.63</v>
          </cell>
          <cell r="K251">
            <v>2.6080000000000001</v>
          </cell>
          <cell r="L251" t="e">
            <v>#N/A</v>
          </cell>
          <cell r="M251" t="e">
            <v>#N/A</v>
          </cell>
          <cell r="N251" t="e">
            <v>#N/A</v>
          </cell>
          <cell r="O251" t="e">
            <v>#N/A</v>
          </cell>
          <cell r="P251" t="str">
            <v>802-004</v>
          </cell>
        </row>
        <row r="252">
          <cell r="A252">
            <v>181</v>
          </cell>
          <cell r="B252">
            <v>12</v>
          </cell>
          <cell r="C252" t="str">
            <v xml:space="preserve">Pasador de canto  marca Hager para puerta de Madera acabado cromo satinado </v>
          </cell>
          <cell r="E252" t="str">
            <v>281D</v>
          </cell>
          <cell r="F252" t="str">
            <v>Hager</v>
          </cell>
          <cell r="G252" t="str">
            <v>US26D</v>
          </cell>
          <cell r="H252" t="str">
            <v>Hager</v>
          </cell>
          <cell r="I252">
            <v>3.85</v>
          </cell>
          <cell r="J252">
            <v>1.63</v>
          </cell>
          <cell r="K252">
            <v>6.2755000000000001</v>
          </cell>
          <cell r="L252" t="e">
            <v>#N/A</v>
          </cell>
          <cell r="M252" t="e">
            <v>#N/A</v>
          </cell>
          <cell r="N252" t="e">
            <v>#N/A</v>
          </cell>
          <cell r="O252" t="e">
            <v>#N/A</v>
          </cell>
          <cell r="P252" t="str">
            <v>210-045</v>
          </cell>
        </row>
        <row r="253">
          <cell r="A253">
            <v>182</v>
          </cell>
          <cell r="B253">
            <v>12</v>
          </cell>
          <cell r="C253" t="str">
            <v xml:space="preserve">Pasador de canto  marca Hager para puerta Metalica acabado cromo satinado </v>
          </cell>
          <cell r="E253" t="str">
            <v>282D</v>
          </cell>
          <cell r="F253" t="str">
            <v>Hager</v>
          </cell>
          <cell r="G253" t="str">
            <v>US26D</v>
          </cell>
          <cell r="H253" t="str">
            <v>Hager</v>
          </cell>
          <cell r="I253">
            <v>4.95</v>
          </cell>
          <cell r="J253">
            <v>1.63</v>
          </cell>
          <cell r="K253">
            <v>8.0685000000000002</v>
          </cell>
          <cell r="L253" t="e">
            <v>#N/A</v>
          </cell>
          <cell r="M253" t="e">
            <v>#N/A</v>
          </cell>
          <cell r="N253" t="e">
            <v>#N/A</v>
          </cell>
          <cell r="O253" t="e">
            <v>#N/A</v>
          </cell>
          <cell r="P253" t="str">
            <v>210-046</v>
          </cell>
        </row>
        <row r="254">
          <cell r="A254">
            <v>183</v>
          </cell>
          <cell r="B254">
            <v>12</v>
          </cell>
          <cell r="C254" t="str">
            <v xml:space="preserve">Broches magneticos marca Hager  Mod. 1439 acabado cromo satinado </v>
          </cell>
          <cell r="E254">
            <v>1439</v>
          </cell>
          <cell r="F254" t="str">
            <v>Hager</v>
          </cell>
          <cell r="G254" t="str">
            <v>US26D</v>
          </cell>
          <cell r="H254" t="str">
            <v>Hager</v>
          </cell>
          <cell r="I254">
            <v>0.6</v>
          </cell>
          <cell r="J254">
            <v>1.63</v>
          </cell>
          <cell r="K254">
            <v>0.97799999999999987</v>
          </cell>
          <cell r="L254" t="e">
            <v>#N/A</v>
          </cell>
          <cell r="M254" t="e">
            <v>#N/A</v>
          </cell>
          <cell r="N254" t="e">
            <v>#N/A</v>
          </cell>
          <cell r="O254" t="e">
            <v>#N/A</v>
          </cell>
          <cell r="P254" t="str">
            <v>802-003</v>
          </cell>
        </row>
        <row r="255">
          <cell r="A255">
            <v>184</v>
          </cell>
          <cell r="B255">
            <v>12</v>
          </cell>
          <cell r="C255" t="str">
            <v xml:space="preserve">Broches perico acabado cromo satinado </v>
          </cell>
          <cell r="E255" t="str">
            <v>H-BLIRA</v>
          </cell>
          <cell r="F255" t="str">
            <v>Proa</v>
          </cell>
          <cell r="G255" t="str">
            <v>US26D</v>
          </cell>
          <cell r="H255" t="str">
            <v>Proa</v>
          </cell>
          <cell r="I255">
            <v>0.2</v>
          </cell>
          <cell r="J255">
            <v>1.25</v>
          </cell>
          <cell r="K255">
            <v>0.25</v>
          </cell>
          <cell r="L255" t="e">
            <v>#N/A</v>
          </cell>
          <cell r="M255" t="e">
            <v>#N/A</v>
          </cell>
          <cell r="N255" t="e">
            <v>#N/A</v>
          </cell>
          <cell r="O255" t="e">
            <v>#N/A</v>
          </cell>
          <cell r="P255" t="str">
            <v>802-004</v>
          </cell>
        </row>
        <row r="256">
          <cell r="A256">
            <v>185</v>
          </cell>
          <cell r="B256">
            <v>12</v>
          </cell>
          <cell r="C256" t="str">
            <v>Jaladera para Puerta de closet acabado cromo satinado</v>
          </cell>
          <cell r="E256" t="str">
            <v>JAL-MET</v>
          </cell>
          <cell r="F256" t="str">
            <v>Proa</v>
          </cell>
          <cell r="G256" t="str">
            <v>US26D</v>
          </cell>
          <cell r="H256" t="str">
            <v>Proa</v>
          </cell>
          <cell r="I256">
            <v>2</v>
          </cell>
          <cell r="J256">
            <v>1.25</v>
          </cell>
          <cell r="K256">
            <v>2.5</v>
          </cell>
          <cell r="L256" t="e">
            <v>#N/A</v>
          </cell>
          <cell r="M256" t="e">
            <v>#N/A</v>
          </cell>
          <cell r="N256" t="e">
            <v>#N/A</v>
          </cell>
          <cell r="O256" t="e">
            <v>#N/A</v>
          </cell>
          <cell r="P256" t="str">
            <v>301-001</v>
          </cell>
        </row>
        <row r="257">
          <cell r="A257" t="str">
            <v>185a</v>
          </cell>
          <cell r="B257">
            <v>12</v>
          </cell>
          <cell r="C257" t="str">
            <v>Jaladera para Puerta  acabado cromo satinado, medidas</v>
          </cell>
          <cell r="D257" t="str">
            <v>3" 1/2 x 5"</v>
          </cell>
          <cell r="E257" t="str">
            <v>Hager</v>
          </cell>
          <cell r="F257" t="str">
            <v>15N</v>
          </cell>
          <cell r="G257" t="str">
            <v>US26D</v>
          </cell>
          <cell r="H257" t="str">
            <v>Hager</v>
          </cell>
          <cell r="I257">
            <v>2</v>
          </cell>
          <cell r="J257">
            <v>1.25</v>
          </cell>
          <cell r="K257">
            <v>2.5</v>
          </cell>
          <cell r="L257" t="e">
            <v>#N/A</v>
          </cell>
          <cell r="M257" t="e">
            <v>#N/A</v>
          </cell>
          <cell r="N257" t="e">
            <v>#N/A</v>
          </cell>
          <cell r="O257" t="e">
            <v>#N/A</v>
          </cell>
          <cell r="P257" t="str">
            <v>301-001</v>
          </cell>
        </row>
        <row r="258">
          <cell r="A258">
            <v>186</v>
          </cell>
          <cell r="B258">
            <v>12</v>
          </cell>
          <cell r="C258" t="str">
            <v>Jaladera de Enbutir para Puerta de closet acabado cromo satinado</v>
          </cell>
          <cell r="E258" t="str">
            <v>JAL-EMBUT</v>
          </cell>
          <cell r="F258" t="str">
            <v>Proa</v>
          </cell>
          <cell r="G258" t="str">
            <v>US26D</v>
          </cell>
          <cell r="H258" t="str">
            <v>Proa</v>
          </cell>
          <cell r="I258">
            <v>3.5</v>
          </cell>
          <cell r="J258">
            <v>1.25</v>
          </cell>
          <cell r="K258">
            <v>4.375</v>
          </cell>
          <cell r="L258" t="e">
            <v>#N/A</v>
          </cell>
          <cell r="M258" t="e">
            <v>#N/A</v>
          </cell>
          <cell r="N258" t="e">
            <v>#N/A</v>
          </cell>
          <cell r="O258" t="e">
            <v>#N/A</v>
          </cell>
          <cell r="P258" t="str">
            <v>301-002</v>
          </cell>
        </row>
        <row r="259">
          <cell r="A259">
            <v>187</v>
          </cell>
          <cell r="B259">
            <v>12</v>
          </cell>
          <cell r="C259" t="str">
            <v>Riel doble modelo U-20 para puerta corrediza</v>
          </cell>
          <cell r="E259" t="str">
            <v>1310-U20-2</v>
          </cell>
          <cell r="F259" t="str">
            <v>Proa</v>
          </cell>
          <cell r="G259" t="str">
            <v>N-A</v>
          </cell>
          <cell r="H259" t="str">
            <v>Proa</v>
          </cell>
          <cell r="I259">
            <v>8.4</v>
          </cell>
          <cell r="J259">
            <v>1.25</v>
          </cell>
          <cell r="K259">
            <v>10.5</v>
          </cell>
          <cell r="L259" t="e">
            <v>#N/A</v>
          </cell>
          <cell r="M259" t="e">
            <v>#N/A</v>
          </cell>
          <cell r="N259" t="e">
            <v>#N/A</v>
          </cell>
          <cell r="O259" t="e">
            <v>#N/A</v>
          </cell>
          <cell r="P259" t="str">
            <v>301-003</v>
          </cell>
        </row>
        <row r="260">
          <cell r="A260">
            <v>188</v>
          </cell>
          <cell r="B260">
            <v>12</v>
          </cell>
          <cell r="C260" t="str">
            <v>Corredera Duocloset Doble.</v>
          </cell>
          <cell r="E260">
            <v>1302</v>
          </cell>
          <cell r="F260" t="str">
            <v>Proa</v>
          </cell>
          <cell r="G260" t="str">
            <v>N-A</v>
          </cell>
          <cell r="H260" t="str">
            <v>Proa</v>
          </cell>
          <cell r="I260">
            <v>8.4</v>
          </cell>
          <cell r="J260">
            <v>1.25</v>
          </cell>
          <cell r="K260">
            <v>10.5</v>
          </cell>
          <cell r="L260" t="e">
            <v>#N/A</v>
          </cell>
          <cell r="M260" t="e">
            <v>#N/A</v>
          </cell>
          <cell r="N260" t="e">
            <v>#N/A</v>
          </cell>
          <cell r="O260" t="e">
            <v>#N/A</v>
          </cell>
          <cell r="P260" t="str">
            <v>301-004</v>
          </cell>
        </row>
        <row r="266">
          <cell r="C266" t="str">
            <v>CERRADURAS</v>
          </cell>
        </row>
        <row r="267">
          <cell r="A267">
            <v>201</v>
          </cell>
          <cell r="B267">
            <v>15</v>
          </cell>
          <cell r="C267" t="str">
            <v>Cerradura de bola, marca Schlage Serie F modelo Orbit  Funcion Bodega acabado cromo satinado</v>
          </cell>
          <cell r="E267" t="str">
            <v>F80-ORB</v>
          </cell>
          <cell r="F267" t="str">
            <v>Schlage</v>
          </cell>
          <cell r="G267">
            <v>626</v>
          </cell>
          <cell r="H267" t="str">
            <v>Schlage</v>
          </cell>
          <cell r="I267">
            <v>50.4</v>
          </cell>
          <cell r="J267">
            <v>0.39</v>
          </cell>
          <cell r="K267">
            <v>19.655999999999999</v>
          </cell>
          <cell r="L267">
            <v>1</v>
          </cell>
          <cell r="M267">
            <v>1.1299999999999999</v>
          </cell>
          <cell r="N267">
            <v>1.05</v>
          </cell>
          <cell r="O267">
            <v>1175.4209375999997</v>
          </cell>
          <cell r="P267" t="str">
            <v>210-62</v>
          </cell>
        </row>
        <row r="268">
          <cell r="A268">
            <v>202</v>
          </cell>
          <cell r="B268">
            <v>15</v>
          </cell>
          <cell r="C268" t="str">
            <v>Cerradura de bola, marca Schlage Serie F modelo Orbit  Funcion Entrada acabado cromo satinado</v>
          </cell>
          <cell r="E268" t="str">
            <v>F51-ORB</v>
          </cell>
          <cell r="F268" t="str">
            <v>Schlage</v>
          </cell>
          <cell r="G268">
            <v>626</v>
          </cell>
          <cell r="H268" t="str">
            <v>Schlage</v>
          </cell>
          <cell r="I268">
            <v>47.4</v>
          </cell>
          <cell r="J268">
            <v>0.46</v>
          </cell>
          <cell r="K268">
            <v>21.804000000000002</v>
          </cell>
          <cell r="L268">
            <v>1</v>
          </cell>
          <cell r="M268">
            <v>1.1299999999999999</v>
          </cell>
          <cell r="N268">
            <v>1.05</v>
          </cell>
          <cell r="O268">
            <v>1226.2591404</v>
          </cell>
          <cell r="P268" t="str">
            <v>210-62</v>
          </cell>
        </row>
        <row r="269">
          <cell r="A269">
            <v>203</v>
          </cell>
          <cell r="B269">
            <v>15</v>
          </cell>
          <cell r="C269" t="str">
            <v>Cerradura de bola, marca Schlage Serie F modelo Orbit  Funcion Privacidad acabado cromo satinado</v>
          </cell>
          <cell r="E269" t="str">
            <v>F40-ORB</v>
          </cell>
          <cell r="F269" t="str">
            <v>Schlage</v>
          </cell>
          <cell r="G269">
            <v>626</v>
          </cell>
          <cell r="H269" t="str">
            <v>Schlage</v>
          </cell>
          <cell r="I269">
            <v>34.1</v>
          </cell>
          <cell r="J269">
            <v>0.46</v>
          </cell>
          <cell r="K269">
            <v>15.686000000000002</v>
          </cell>
          <cell r="L269">
            <v>1</v>
          </cell>
          <cell r="M269">
            <v>1.1299999999999999</v>
          </cell>
          <cell r="N269">
            <v>1.05</v>
          </cell>
          <cell r="O269">
            <v>634.65006990000018</v>
          </cell>
          <cell r="P269" t="str">
            <v>210-63</v>
          </cell>
        </row>
        <row r="270">
          <cell r="A270">
            <v>204</v>
          </cell>
          <cell r="B270">
            <v>15</v>
          </cell>
          <cell r="C270" t="str">
            <v>Cerradura de bola, marca Schlage Serie F modelo Orbit  Funcion Paso acabado cromo satinado</v>
          </cell>
          <cell r="E270" t="str">
            <v>F10-ORB</v>
          </cell>
          <cell r="F270" t="str">
            <v>Schlage</v>
          </cell>
          <cell r="G270">
            <v>626</v>
          </cell>
          <cell r="H270" t="str">
            <v>Schlage</v>
          </cell>
          <cell r="I270">
            <v>29.8</v>
          </cell>
          <cell r="J270">
            <v>0.46</v>
          </cell>
          <cell r="K270">
            <v>13.708</v>
          </cell>
          <cell r="L270">
            <v>1</v>
          </cell>
          <cell r="M270">
            <v>1.1299999999999999</v>
          </cell>
          <cell r="N270">
            <v>1.05</v>
          </cell>
          <cell r="O270">
            <v>484.68335159999998</v>
          </cell>
          <cell r="P270" t="str">
            <v>210-64</v>
          </cell>
        </row>
        <row r="271">
          <cell r="A271">
            <v>205</v>
          </cell>
          <cell r="B271">
            <v>15</v>
          </cell>
          <cell r="C271" t="str">
            <v>Cerradura de bola, marca Schlage Serie F modelo Orbit  Funcion Dummy acabado cromo satinado</v>
          </cell>
          <cell r="E271" t="str">
            <v>F170-ORB</v>
          </cell>
          <cell r="F271" t="str">
            <v>Schlage</v>
          </cell>
          <cell r="G271">
            <v>626</v>
          </cell>
          <cell r="H271" t="str">
            <v>Schlage</v>
          </cell>
          <cell r="I271">
            <v>12.8</v>
          </cell>
          <cell r="J271">
            <v>0.46</v>
          </cell>
          <cell r="K271">
            <v>5.8880000000000008</v>
          </cell>
          <cell r="L271">
            <v>1</v>
          </cell>
          <cell r="M271">
            <v>1.1299999999999999</v>
          </cell>
          <cell r="N271">
            <v>1.05</v>
          </cell>
          <cell r="O271">
            <v>89.422233600000013</v>
          </cell>
          <cell r="P271" t="str">
            <v>210-65</v>
          </cell>
        </row>
        <row r="272">
          <cell r="J272">
            <v>0.42</v>
          </cell>
        </row>
        <row r="273">
          <cell r="A273">
            <v>206</v>
          </cell>
          <cell r="B273">
            <v>15</v>
          </cell>
          <cell r="C273" t="str">
            <v>Cerradura de bola, marca Schlage Serie A modelo Orbit  Funcion Bodega acabado cromo satinado</v>
          </cell>
          <cell r="E273" t="str">
            <v>A80PD-ORB</v>
          </cell>
          <cell r="F273" t="str">
            <v>Schlage</v>
          </cell>
          <cell r="G273">
            <v>626</v>
          </cell>
          <cell r="H273" t="str">
            <v>Schlage</v>
          </cell>
          <cell r="I273">
            <v>116</v>
          </cell>
          <cell r="J273">
            <v>0.42</v>
          </cell>
          <cell r="K273">
            <v>48.72</v>
          </cell>
          <cell r="L273">
            <v>1</v>
          </cell>
          <cell r="M273">
            <v>1.1299999999999999</v>
          </cell>
          <cell r="N273">
            <v>1.05</v>
          </cell>
          <cell r="O273">
            <v>6705.528479999999</v>
          </cell>
          <cell r="P273" t="str">
            <v>210-62</v>
          </cell>
        </row>
        <row r="274">
          <cell r="A274">
            <v>207</v>
          </cell>
          <cell r="B274">
            <v>15</v>
          </cell>
          <cell r="C274" t="str">
            <v>Cerradura de bola, marca Schlage Serie A modelo Orbit  Funcion Classroom acabado cromo satinado</v>
          </cell>
          <cell r="E274" t="str">
            <v>A70PD-ORB</v>
          </cell>
          <cell r="F274" t="str">
            <v>Schlage</v>
          </cell>
          <cell r="G274">
            <v>626</v>
          </cell>
          <cell r="H274" t="str">
            <v>Schlage</v>
          </cell>
          <cell r="I274">
            <v>116</v>
          </cell>
          <cell r="J274">
            <v>0.42</v>
          </cell>
          <cell r="K274">
            <v>48.72</v>
          </cell>
          <cell r="L274">
            <v>1</v>
          </cell>
          <cell r="M274">
            <v>1.1299999999999999</v>
          </cell>
          <cell r="N274">
            <v>1.05</v>
          </cell>
          <cell r="O274">
            <v>6705.528479999999</v>
          </cell>
          <cell r="P274" t="str">
            <v>210-62</v>
          </cell>
        </row>
        <row r="275">
          <cell r="A275">
            <v>208</v>
          </cell>
          <cell r="B275">
            <v>15</v>
          </cell>
          <cell r="C275" t="str">
            <v>Cerradura de bola, marca Schlage Serie A modelo Orbit  Funcion Entrada acabado cromo satinado</v>
          </cell>
          <cell r="E275" t="str">
            <v>A53PD-ORB</v>
          </cell>
          <cell r="F275" t="str">
            <v>Schlage</v>
          </cell>
          <cell r="G275">
            <v>626</v>
          </cell>
          <cell r="H275" t="str">
            <v>Schlage</v>
          </cell>
          <cell r="I275">
            <v>116</v>
          </cell>
          <cell r="J275">
            <v>0.42</v>
          </cell>
          <cell r="K275">
            <v>48.72</v>
          </cell>
          <cell r="L275">
            <v>1</v>
          </cell>
          <cell r="M275">
            <v>1.1299999999999999</v>
          </cell>
          <cell r="N275">
            <v>1.05</v>
          </cell>
          <cell r="O275">
            <v>6705.528479999999</v>
          </cell>
          <cell r="P275" t="str">
            <v>210-62</v>
          </cell>
        </row>
        <row r="276">
          <cell r="A276">
            <v>209</v>
          </cell>
          <cell r="B276">
            <v>15</v>
          </cell>
          <cell r="C276" t="str">
            <v>Cerradura de bola, marca Schlage Serie A modelo Orbit  Funcion Privacidad acabado cromo satinado</v>
          </cell>
          <cell r="E276" t="str">
            <v>A40S-ORB</v>
          </cell>
          <cell r="F276" t="str">
            <v>Schlage</v>
          </cell>
          <cell r="G276">
            <v>626</v>
          </cell>
          <cell r="H276" t="str">
            <v>Schlage</v>
          </cell>
          <cell r="I276">
            <v>66</v>
          </cell>
          <cell r="J276">
            <v>0.42</v>
          </cell>
          <cell r="K276">
            <v>27.72</v>
          </cell>
          <cell r="L276">
            <v>1</v>
          </cell>
          <cell r="M276">
            <v>1.1299999999999999</v>
          </cell>
          <cell r="N276">
            <v>1.05</v>
          </cell>
          <cell r="O276">
            <v>2170.7254800000001</v>
          </cell>
          <cell r="P276" t="str">
            <v>210-63</v>
          </cell>
        </row>
        <row r="277">
          <cell r="A277" t="str">
            <v>209a</v>
          </cell>
          <cell r="B277">
            <v>15</v>
          </cell>
          <cell r="C277" t="str">
            <v>Cerradura de bola, marca Falcon Serie F modelo Hana  Grado 2, Funcion Privacidad acabado cromo satinado</v>
          </cell>
          <cell r="E277" t="e">
            <v>#N/A</v>
          </cell>
          <cell r="F277" t="str">
            <v>Falcon</v>
          </cell>
          <cell r="G277">
            <v>626</v>
          </cell>
          <cell r="H277" t="str">
            <v>Falcon</v>
          </cell>
          <cell r="I277">
            <v>39</v>
          </cell>
          <cell r="J277">
            <v>0.42</v>
          </cell>
          <cell r="K277">
            <v>16.38</v>
          </cell>
          <cell r="L277" t="e">
            <v>#N/A</v>
          </cell>
          <cell r="M277" t="e">
            <v>#N/A</v>
          </cell>
          <cell r="N277" t="e">
            <v>#N/A</v>
          </cell>
          <cell r="O277" t="e">
            <v>#N/A</v>
          </cell>
          <cell r="P277" t="str">
            <v>210-63</v>
          </cell>
        </row>
        <row r="278">
          <cell r="A278" t="str">
            <v>209a</v>
          </cell>
          <cell r="B278">
            <v>15</v>
          </cell>
          <cell r="C278" t="str">
            <v>Cerradura de bola, marca Schlage Serie A modelo Orbit  Funcion Privacidad acabado cromo satinado</v>
          </cell>
          <cell r="E278" t="str">
            <v>A40S-ORB</v>
          </cell>
          <cell r="F278" t="str">
            <v>Schlage</v>
          </cell>
          <cell r="G278">
            <v>626</v>
          </cell>
          <cell r="H278" t="str">
            <v>Schlage</v>
          </cell>
          <cell r="I278">
            <v>66</v>
          </cell>
          <cell r="J278">
            <v>0.42</v>
          </cell>
          <cell r="K278">
            <v>27.72</v>
          </cell>
          <cell r="L278">
            <v>1</v>
          </cell>
          <cell r="M278">
            <v>1.1299999999999999</v>
          </cell>
          <cell r="N278">
            <v>1.05</v>
          </cell>
          <cell r="O278">
            <v>2170.7254800000001</v>
          </cell>
          <cell r="P278" t="str">
            <v>210-63</v>
          </cell>
        </row>
        <row r="279">
          <cell r="A279">
            <v>210</v>
          </cell>
          <cell r="B279">
            <v>15</v>
          </cell>
          <cell r="C279" t="str">
            <v>Cerradura de bola, marca Schlage Serie A modelo Orbit  Funcion Salida acabado cromo satinado</v>
          </cell>
          <cell r="E279" t="str">
            <v>A25S-ORB</v>
          </cell>
          <cell r="F279" t="str">
            <v>Schlage</v>
          </cell>
          <cell r="G279">
            <v>626</v>
          </cell>
          <cell r="H279" t="str">
            <v>Schlage</v>
          </cell>
          <cell r="I279">
            <v>61</v>
          </cell>
          <cell r="J279">
            <v>0.42</v>
          </cell>
          <cell r="K279">
            <v>25.619999999999997</v>
          </cell>
          <cell r="L279">
            <v>1</v>
          </cell>
          <cell r="M279">
            <v>1.1299999999999999</v>
          </cell>
          <cell r="N279">
            <v>1.05</v>
          </cell>
          <cell r="O279">
            <v>1854.2859299999998</v>
          </cell>
          <cell r="P279" t="str">
            <v>210-64</v>
          </cell>
        </row>
        <row r="280">
          <cell r="A280">
            <v>211</v>
          </cell>
          <cell r="B280">
            <v>15</v>
          </cell>
          <cell r="C280" t="str">
            <v>Cerradura de bola, marca Schlage Serie A modelo Orbit  Funcion Paso acabado cromo satinado</v>
          </cell>
          <cell r="E280" t="str">
            <v>A10S-ORB</v>
          </cell>
          <cell r="F280" t="str">
            <v>Schlage</v>
          </cell>
          <cell r="G280">
            <v>626</v>
          </cell>
          <cell r="H280" t="str">
            <v>Schlage</v>
          </cell>
          <cell r="I280">
            <v>61</v>
          </cell>
          <cell r="J280">
            <v>0.42</v>
          </cell>
          <cell r="K280">
            <v>25.619999999999997</v>
          </cell>
          <cell r="L280">
            <v>1</v>
          </cell>
          <cell r="M280">
            <v>1.1299999999999999</v>
          </cell>
          <cell r="N280">
            <v>1.05</v>
          </cell>
          <cell r="O280">
            <v>1854.2859299999998</v>
          </cell>
          <cell r="P280" t="str">
            <v>210-64</v>
          </cell>
        </row>
        <row r="281">
          <cell r="A281">
            <v>212</v>
          </cell>
          <cell r="B281">
            <v>15</v>
          </cell>
          <cell r="C281" t="str">
            <v>Cerradura de bola, marca Schlage Serie A modelo Orbit  Funcion Dummy acabado cromo satinado</v>
          </cell>
          <cell r="E281" t="str">
            <v>A170-ORB</v>
          </cell>
          <cell r="F281" t="str">
            <v>Schlage</v>
          </cell>
          <cell r="G281">
            <v>626</v>
          </cell>
          <cell r="H281" t="str">
            <v>Schlage</v>
          </cell>
          <cell r="I281">
            <v>30</v>
          </cell>
          <cell r="J281">
            <v>0.42</v>
          </cell>
          <cell r="K281">
            <v>12.6</v>
          </cell>
          <cell r="L281">
            <v>1</v>
          </cell>
          <cell r="M281">
            <v>1.1299999999999999</v>
          </cell>
          <cell r="N281">
            <v>1.05</v>
          </cell>
          <cell r="O281">
            <v>448.49700000000001</v>
          </cell>
          <cell r="P281" t="str">
            <v>210-65</v>
          </cell>
        </row>
        <row r="282">
          <cell r="J282">
            <v>0.42</v>
          </cell>
        </row>
        <row r="283">
          <cell r="A283">
            <v>213</v>
          </cell>
          <cell r="B283">
            <v>15</v>
          </cell>
          <cell r="C283" t="str">
            <v>Cerradura de Manija, marca Schlage Serie AL modelo Saturn  Funcion Bodega acabado cromo satinado</v>
          </cell>
          <cell r="E283" t="str">
            <v>AL80PD-SAT</v>
          </cell>
          <cell r="F283" t="str">
            <v>Schlage</v>
          </cell>
          <cell r="G283">
            <v>626</v>
          </cell>
          <cell r="H283" t="str">
            <v>Schlage</v>
          </cell>
          <cell r="I283">
            <v>187</v>
          </cell>
          <cell r="J283">
            <v>0.42</v>
          </cell>
          <cell r="K283">
            <v>78.539999999999992</v>
          </cell>
          <cell r="L283">
            <v>1</v>
          </cell>
          <cell r="M283">
            <v>1.1299999999999999</v>
          </cell>
          <cell r="N283">
            <v>1.05</v>
          </cell>
          <cell r="O283">
            <v>17426.101769999997</v>
          </cell>
          <cell r="P283" t="str">
            <v>210-62</v>
          </cell>
        </row>
        <row r="284">
          <cell r="A284">
            <v>214</v>
          </cell>
          <cell r="B284">
            <v>15</v>
          </cell>
          <cell r="C284" t="str">
            <v>Cerradura de Manija, marca Schlage Serie AL modelo Saturn  Funcion Classroom acabado cromo satinado</v>
          </cell>
          <cell r="E284" t="str">
            <v>AL70PD-SAT</v>
          </cell>
          <cell r="F284" t="str">
            <v>Schlage</v>
          </cell>
          <cell r="G284">
            <v>626</v>
          </cell>
          <cell r="H284" t="str">
            <v>Schlage</v>
          </cell>
          <cell r="I284">
            <v>187</v>
          </cell>
          <cell r="J284">
            <v>0.42</v>
          </cell>
          <cell r="K284">
            <v>78.539999999999992</v>
          </cell>
          <cell r="L284">
            <v>1</v>
          </cell>
          <cell r="M284">
            <v>1.1299999999999999</v>
          </cell>
          <cell r="N284">
            <v>1.05</v>
          </cell>
          <cell r="O284">
            <v>17426.101769999997</v>
          </cell>
          <cell r="P284" t="str">
            <v>210-62</v>
          </cell>
        </row>
        <row r="285">
          <cell r="A285">
            <v>215</v>
          </cell>
          <cell r="B285">
            <v>15</v>
          </cell>
          <cell r="C285" t="str">
            <v>Cerradura de Manija, marca Schlage Serie AL modelo Saturn  Funcion Entrada acabado cromo satinado</v>
          </cell>
          <cell r="E285" t="str">
            <v>AL53PD-SAT</v>
          </cell>
          <cell r="F285" t="str">
            <v>Schlage</v>
          </cell>
          <cell r="G285">
            <v>626</v>
          </cell>
          <cell r="H285" t="str">
            <v>Schlage</v>
          </cell>
          <cell r="I285">
            <v>187</v>
          </cell>
          <cell r="J285">
            <v>0.42</v>
          </cell>
          <cell r="K285">
            <v>78.539999999999992</v>
          </cell>
          <cell r="L285">
            <v>1</v>
          </cell>
          <cell r="M285">
            <v>1.1299999999999999</v>
          </cell>
          <cell r="N285">
            <v>1.05</v>
          </cell>
          <cell r="O285">
            <v>17426.101769999997</v>
          </cell>
          <cell r="P285" t="str">
            <v>210-62</v>
          </cell>
        </row>
        <row r="286">
          <cell r="A286">
            <v>216</v>
          </cell>
          <cell r="B286">
            <v>15</v>
          </cell>
          <cell r="C286" t="str">
            <v>Cerradura de Manija, marca Schlage Serie AL modelo Saturn  Funcion Privacidad acabado cromo satinado</v>
          </cell>
          <cell r="E286" t="str">
            <v>AL40S-SAT</v>
          </cell>
          <cell r="F286" t="str">
            <v>Schlage</v>
          </cell>
          <cell r="G286">
            <v>626</v>
          </cell>
          <cell r="H286" t="str">
            <v>Schlage</v>
          </cell>
          <cell r="I286">
            <v>146</v>
          </cell>
          <cell r="J286">
            <v>0.42</v>
          </cell>
          <cell r="K286">
            <v>61.32</v>
          </cell>
          <cell r="L286">
            <v>1</v>
          </cell>
          <cell r="M286">
            <v>1.1299999999999999</v>
          </cell>
          <cell r="N286">
            <v>1.05</v>
          </cell>
          <cell r="O286">
            <v>10622.402279999998</v>
          </cell>
          <cell r="P286" t="str">
            <v>210-63</v>
          </cell>
        </row>
        <row r="287">
          <cell r="A287">
            <v>217</v>
          </cell>
          <cell r="B287">
            <v>15</v>
          </cell>
          <cell r="C287" t="str">
            <v>Cerradura de Manija, marca Schlage Serie AL modelo Saturn  Funcion Salida acabado cromo satinado</v>
          </cell>
          <cell r="E287" t="str">
            <v>AL25D-SAT</v>
          </cell>
          <cell r="F287" t="str">
            <v>Schlage</v>
          </cell>
          <cell r="G287">
            <v>626</v>
          </cell>
          <cell r="H287" t="str">
            <v>Schlage</v>
          </cell>
          <cell r="I287">
            <v>143</v>
          </cell>
          <cell r="J287">
            <v>0.42</v>
          </cell>
          <cell r="K287">
            <v>60.059999999999995</v>
          </cell>
          <cell r="L287">
            <v>1</v>
          </cell>
          <cell r="M287">
            <v>1.1299999999999999</v>
          </cell>
          <cell r="N287">
            <v>1.05</v>
          </cell>
          <cell r="O287">
            <v>10190.350169999998</v>
          </cell>
          <cell r="P287" t="str">
            <v>210-64</v>
          </cell>
        </row>
        <row r="288">
          <cell r="A288">
            <v>218</v>
          </cell>
          <cell r="B288">
            <v>15</v>
          </cell>
          <cell r="C288" t="str">
            <v>Cerradura de Manija, marca Schlage Serie AL modelo Saturn  Funcion Paso acabado cromo satinado</v>
          </cell>
          <cell r="E288" t="str">
            <v>AL10S-SAT</v>
          </cell>
          <cell r="F288" t="str">
            <v>Schlage</v>
          </cell>
          <cell r="G288">
            <v>626</v>
          </cell>
          <cell r="H288" t="str">
            <v>Schlage</v>
          </cell>
          <cell r="I288">
            <v>128</v>
          </cell>
          <cell r="J288">
            <v>0.42</v>
          </cell>
          <cell r="K288">
            <v>53.76</v>
          </cell>
          <cell r="L288">
            <v>1</v>
          </cell>
          <cell r="M288">
            <v>1.1299999999999999</v>
          </cell>
          <cell r="N288">
            <v>1.05</v>
          </cell>
          <cell r="O288">
            <v>8164.638719999999</v>
          </cell>
          <cell r="P288" t="str">
            <v>210-64</v>
          </cell>
        </row>
        <row r="289">
          <cell r="A289">
            <v>219</v>
          </cell>
          <cell r="B289">
            <v>15</v>
          </cell>
          <cell r="C289" t="str">
            <v>Cerradura de Manija, marca Schlage Serie AL modelo Saturn  Funcion Dummy acabado cromo satinado</v>
          </cell>
          <cell r="E289" t="str">
            <v>AL170-SAT</v>
          </cell>
          <cell r="F289" t="str">
            <v>Schlage</v>
          </cell>
          <cell r="G289">
            <v>626</v>
          </cell>
          <cell r="H289" t="str">
            <v>Schlage</v>
          </cell>
          <cell r="I289">
            <v>72</v>
          </cell>
          <cell r="J289">
            <v>0.42</v>
          </cell>
          <cell r="K289">
            <v>30.24</v>
          </cell>
          <cell r="L289">
            <v>1</v>
          </cell>
          <cell r="M289">
            <v>1.1299999999999999</v>
          </cell>
          <cell r="N289">
            <v>1.05</v>
          </cell>
          <cell r="O289">
            <v>2583.3427199999996</v>
          </cell>
          <cell r="P289" t="str">
            <v>210-65</v>
          </cell>
        </row>
        <row r="291">
          <cell r="A291">
            <v>220</v>
          </cell>
          <cell r="B291">
            <v>15</v>
          </cell>
          <cell r="C291" t="str">
            <v>Cerradura de Manija, marca Schlage Serie D modelo Rhodes  Funcion Bodega acabado cromo satinado</v>
          </cell>
          <cell r="E291" t="str">
            <v>D80PD-RHO</v>
          </cell>
          <cell r="F291" t="str">
            <v>Schlage</v>
          </cell>
          <cell r="G291">
            <v>626</v>
          </cell>
          <cell r="H291" t="str">
            <v>Schlage</v>
          </cell>
          <cell r="I291">
            <v>298</v>
          </cell>
          <cell r="J291">
            <v>0.46</v>
          </cell>
          <cell r="K291">
            <v>137.08000000000001</v>
          </cell>
          <cell r="L291">
            <v>1</v>
          </cell>
          <cell r="M291">
            <v>1.1299999999999999</v>
          </cell>
          <cell r="N291">
            <v>1.05</v>
          </cell>
          <cell r="O291">
            <v>48468.335160000002</v>
          </cell>
          <cell r="P291" t="str">
            <v>210-62</v>
          </cell>
        </row>
        <row r="292">
          <cell r="A292">
            <v>221</v>
          </cell>
          <cell r="B292">
            <v>15</v>
          </cell>
          <cell r="C292" t="str">
            <v>Cerradura de Manija, marca Schlage Serie D modelo Rhodes  Funcion Classroom acabado cromo satinado</v>
          </cell>
          <cell r="E292" t="str">
            <v>DL70PD-RHO</v>
          </cell>
          <cell r="F292" t="str">
            <v>Schlage</v>
          </cell>
          <cell r="G292">
            <v>626</v>
          </cell>
          <cell r="H292" t="str">
            <v>Schlage</v>
          </cell>
          <cell r="I292">
            <v>298</v>
          </cell>
          <cell r="J292">
            <v>0.46</v>
          </cell>
          <cell r="K292">
            <v>137.08000000000001</v>
          </cell>
          <cell r="L292">
            <v>1</v>
          </cell>
          <cell r="M292">
            <v>1.1299999999999999</v>
          </cell>
          <cell r="N292">
            <v>1.05</v>
          </cell>
          <cell r="O292">
            <v>48468.335160000002</v>
          </cell>
          <cell r="P292" t="str">
            <v>210-62</v>
          </cell>
        </row>
        <row r="293">
          <cell r="A293">
            <v>222</v>
          </cell>
          <cell r="B293">
            <v>15</v>
          </cell>
          <cell r="C293" t="str">
            <v>Cerradura de Manija, marca Schlage Serie D modelo Rhodes  Funcion Entrada acabado cromo satinado</v>
          </cell>
          <cell r="E293" t="str">
            <v>D53PD-RHO</v>
          </cell>
          <cell r="F293" t="str">
            <v>Schlage</v>
          </cell>
          <cell r="G293">
            <v>626</v>
          </cell>
          <cell r="H293" t="str">
            <v>Schlage</v>
          </cell>
          <cell r="I293">
            <v>298</v>
          </cell>
          <cell r="J293">
            <v>0.39</v>
          </cell>
          <cell r="K293">
            <v>116.22</v>
          </cell>
          <cell r="L293">
            <v>1</v>
          </cell>
          <cell r="M293">
            <v>1.1299999999999999</v>
          </cell>
          <cell r="N293">
            <v>1.05</v>
          </cell>
          <cell r="O293">
            <v>41092.718939999992</v>
          </cell>
          <cell r="P293" t="str">
            <v>210-62</v>
          </cell>
        </row>
        <row r="294">
          <cell r="A294" t="str">
            <v>222a</v>
          </cell>
          <cell r="B294">
            <v>15</v>
          </cell>
          <cell r="C294" t="str">
            <v>Cerradura de Manija, marca Schlage Serie D modelo Rhodes  Funcion Entrada Oficina acabado cromo satinado</v>
          </cell>
          <cell r="E294" t="str">
            <v>D50PD-RHO</v>
          </cell>
          <cell r="F294" t="str">
            <v>Schlage</v>
          </cell>
          <cell r="G294">
            <v>626</v>
          </cell>
          <cell r="H294" t="str">
            <v>Schlage</v>
          </cell>
          <cell r="I294">
            <v>298</v>
          </cell>
          <cell r="J294">
            <v>0.46</v>
          </cell>
          <cell r="K294">
            <v>137.08000000000001</v>
          </cell>
          <cell r="L294">
            <v>1</v>
          </cell>
          <cell r="M294">
            <v>1.1299999999999999</v>
          </cell>
          <cell r="N294">
            <v>1.05</v>
          </cell>
          <cell r="O294">
            <v>48468.335160000002</v>
          </cell>
          <cell r="P294" t="str">
            <v>210-62</v>
          </cell>
        </row>
        <row r="295">
          <cell r="A295" t="str">
            <v>222b</v>
          </cell>
          <cell r="B295">
            <v>15</v>
          </cell>
          <cell r="C295" t="str">
            <v>Cerradura de Manija, marca Schlage Serie D modelo Rhodes  Funcion Entrada acabado cromo satinado</v>
          </cell>
          <cell r="E295" t="str">
            <v>D50PD-RHO</v>
          </cell>
          <cell r="F295" t="str">
            <v>Schlage</v>
          </cell>
          <cell r="G295">
            <v>613</v>
          </cell>
          <cell r="H295" t="str">
            <v>Schlage</v>
          </cell>
          <cell r="I295">
            <v>298</v>
          </cell>
          <cell r="J295">
            <v>0.46</v>
          </cell>
          <cell r="K295">
            <v>137.08000000000001</v>
          </cell>
          <cell r="L295">
            <v>1</v>
          </cell>
          <cell r="M295">
            <v>1.1299999999999999</v>
          </cell>
          <cell r="N295">
            <v>1.05</v>
          </cell>
          <cell r="O295">
            <v>48468.335160000002</v>
          </cell>
          <cell r="P295" t="str">
            <v>210-62</v>
          </cell>
        </row>
        <row r="296">
          <cell r="A296">
            <v>223</v>
          </cell>
          <cell r="B296">
            <v>15</v>
          </cell>
          <cell r="C296" t="str">
            <v>Cerradura de Manija, marca Schlage Serie D modelo Rhodes  Funcion Privacidad acabado cromo satinado</v>
          </cell>
          <cell r="E296" t="str">
            <v>D40S-RHO</v>
          </cell>
          <cell r="F296" t="str">
            <v>Schlage</v>
          </cell>
          <cell r="G296">
            <v>626</v>
          </cell>
          <cell r="H296" t="str">
            <v>Schlage</v>
          </cell>
          <cell r="I296">
            <v>252</v>
          </cell>
          <cell r="J296">
            <v>0.46</v>
          </cell>
          <cell r="K296">
            <v>115.92</v>
          </cell>
          <cell r="L296">
            <v>1</v>
          </cell>
          <cell r="M296">
            <v>1.1299999999999999</v>
          </cell>
          <cell r="N296">
            <v>1.05</v>
          </cell>
          <cell r="O296">
            <v>34659.848159999994</v>
          </cell>
          <cell r="P296" t="str">
            <v>210-63</v>
          </cell>
        </row>
        <row r="297">
          <cell r="A297">
            <v>224</v>
          </cell>
          <cell r="B297">
            <v>15</v>
          </cell>
          <cell r="C297" t="str">
            <v>Cerradura de Manija, marca Schlage Serie D modelo Rhodes  Funcion Salida acabado cromo satinado</v>
          </cell>
          <cell r="E297" t="str">
            <v>D25D-RHO</v>
          </cell>
          <cell r="F297" t="str">
            <v>Schlage</v>
          </cell>
          <cell r="G297">
            <v>626</v>
          </cell>
          <cell r="H297" t="str">
            <v>Schlage</v>
          </cell>
          <cell r="I297">
            <v>218</v>
          </cell>
          <cell r="J297">
            <v>0.46</v>
          </cell>
          <cell r="K297">
            <v>100.28</v>
          </cell>
          <cell r="L297">
            <v>1</v>
          </cell>
          <cell r="M297">
            <v>1.1299999999999999</v>
          </cell>
          <cell r="N297">
            <v>1.05</v>
          </cell>
          <cell r="O297">
            <v>25938.123959999997</v>
          </cell>
          <cell r="P297" t="str">
            <v>210-64</v>
          </cell>
        </row>
        <row r="298">
          <cell r="A298">
            <v>225</v>
          </cell>
          <cell r="B298">
            <v>15</v>
          </cell>
          <cell r="C298" t="str">
            <v>Cerradura de Manija, marca Schlage Serie D modelo Rhodes  Funcion Paso acabado cromo satinado</v>
          </cell>
          <cell r="E298" t="str">
            <v>D10S-RHO</v>
          </cell>
          <cell r="F298" t="str">
            <v>Schlage</v>
          </cell>
          <cell r="G298">
            <v>626</v>
          </cell>
          <cell r="H298" t="str">
            <v>Schlage</v>
          </cell>
          <cell r="I298">
            <v>218</v>
          </cell>
          <cell r="J298">
            <v>0.46</v>
          </cell>
          <cell r="K298">
            <v>100.28</v>
          </cell>
          <cell r="L298">
            <v>1</v>
          </cell>
          <cell r="M298">
            <v>1.1299999999999999</v>
          </cell>
          <cell r="N298">
            <v>1.05</v>
          </cell>
          <cell r="O298">
            <v>25938.123959999997</v>
          </cell>
          <cell r="P298" t="str">
            <v>210-64</v>
          </cell>
        </row>
        <row r="299">
          <cell r="A299">
            <v>226</v>
          </cell>
          <cell r="B299">
            <v>15</v>
          </cell>
          <cell r="C299" t="str">
            <v>Cerradura de Manija, marca Schlage Serie D modelo Rhodes  Funcion Dummy acabado cromo satinado</v>
          </cell>
          <cell r="E299" t="str">
            <v>D170-RHO</v>
          </cell>
          <cell r="F299" t="str">
            <v>Schlage</v>
          </cell>
          <cell r="G299">
            <v>626</v>
          </cell>
          <cell r="H299" t="str">
            <v>Schlage</v>
          </cell>
          <cell r="I299">
            <v>94</v>
          </cell>
          <cell r="J299">
            <v>0.46</v>
          </cell>
          <cell r="K299">
            <v>43.24</v>
          </cell>
          <cell r="L299">
            <v>1</v>
          </cell>
          <cell r="M299">
            <v>1.1299999999999999</v>
          </cell>
          <cell r="N299">
            <v>1.05</v>
          </cell>
          <cell r="O299">
            <v>4822.6004400000002</v>
          </cell>
          <cell r="P299" t="str">
            <v>210-65</v>
          </cell>
        </row>
        <row r="301">
          <cell r="A301">
            <v>227</v>
          </cell>
          <cell r="B301">
            <v>16</v>
          </cell>
          <cell r="C301" t="str">
            <v>Cerrojo Llave - mariposa marca Schlage Serie BC100 acabado cromo satinado</v>
          </cell>
          <cell r="E301" t="str">
            <v>BC160P</v>
          </cell>
          <cell r="F301" t="str">
            <v>Schlage</v>
          </cell>
          <cell r="G301">
            <v>626</v>
          </cell>
          <cell r="H301" t="str">
            <v>Schlage</v>
          </cell>
          <cell r="I301">
            <v>41</v>
          </cell>
          <cell r="J301">
            <v>0.46</v>
          </cell>
          <cell r="K301">
            <v>18.86</v>
          </cell>
          <cell r="L301">
            <v>1</v>
          </cell>
          <cell r="M301">
            <v>1.1299999999999999</v>
          </cell>
          <cell r="N301">
            <v>1.05</v>
          </cell>
          <cell r="O301">
            <v>917.47298999999998</v>
          </cell>
          <cell r="P301" t="str">
            <v>210-65</v>
          </cell>
        </row>
        <row r="302">
          <cell r="A302">
            <v>228</v>
          </cell>
          <cell r="B302">
            <v>16</v>
          </cell>
          <cell r="C302" t="str">
            <v>Cerrojo Llave - Llave marca Schlage Serie BC100 acabado cromo satinado</v>
          </cell>
          <cell r="E302" t="str">
            <v>BC162P</v>
          </cell>
          <cell r="F302" t="str">
            <v>Schlage</v>
          </cell>
          <cell r="G302">
            <v>626</v>
          </cell>
          <cell r="H302" t="str">
            <v>Schlage</v>
          </cell>
          <cell r="I302">
            <v>55</v>
          </cell>
          <cell r="J302">
            <v>0.46</v>
          </cell>
          <cell r="K302">
            <v>25.3</v>
          </cell>
          <cell r="L302">
            <v>1</v>
          </cell>
          <cell r="M302">
            <v>1.1299999999999999</v>
          </cell>
          <cell r="N302">
            <v>1.05</v>
          </cell>
          <cell r="O302">
            <v>1651.0147499999998</v>
          </cell>
          <cell r="P302" t="str">
            <v>210-66</v>
          </cell>
        </row>
        <row r="303">
          <cell r="A303">
            <v>229</v>
          </cell>
          <cell r="B303">
            <v>16</v>
          </cell>
          <cell r="C303" t="str">
            <v>Cerrojo solo Mariposa marca Schlage Serie BC100 acabado cromo satinado</v>
          </cell>
          <cell r="E303" t="str">
            <v>BC180</v>
          </cell>
          <cell r="F303" t="str">
            <v>Schlage</v>
          </cell>
          <cell r="G303">
            <v>626</v>
          </cell>
          <cell r="H303" t="str">
            <v>Schlage</v>
          </cell>
          <cell r="I303">
            <v>30</v>
          </cell>
          <cell r="J303">
            <v>0.46</v>
          </cell>
          <cell r="K303">
            <v>13.8</v>
          </cell>
          <cell r="L303">
            <v>1</v>
          </cell>
          <cell r="M303">
            <v>1.1299999999999999</v>
          </cell>
          <cell r="N303">
            <v>1.05</v>
          </cell>
          <cell r="O303">
            <v>491.21099999999996</v>
          </cell>
          <cell r="P303" t="str">
            <v>210-67</v>
          </cell>
        </row>
        <row r="304">
          <cell r="A304" t="str">
            <v>229a</v>
          </cell>
          <cell r="B304">
            <v>16</v>
          </cell>
          <cell r="C304" t="e">
            <v>#N/A</v>
          </cell>
          <cell r="E304" t="str">
            <v>D861M</v>
          </cell>
          <cell r="F304" t="str">
            <v>Falcon</v>
          </cell>
          <cell r="G304">
            <v>626</v>
          </cell>
          <cell r="H304" t="str">
            <v>Schlage</v>
          </cell>
          <cell r="I304" t="str">
            <v>?</v>
          </cell>
          <cell r="J304">
            <v>0.46</v>
          </cell>
          <cell r="K304" t="e">
            <v>#VALUE!</v>
          </cell>
          <cell r="L304">
            <v>1</v>
          </cell>
          <cell r="M304">
            <v>1.1299999999999999</v>
          </cell>
          <cell r="N304">
            <v>1.05</v>
          </cell>
          <cell r="O304" t="e">
            <v>#VALUE!</v>
          </cell>
          <cell r="P304" t="str">
            <v>210-67</v>
          </cell>
        </row>
        <row r="306">
          <cell r="A306">
            <v>230</v>
          </cell>
          <cell r="B306">
            <v>16</v>
          </cell>
          <cell r="C306" t="str">
            <v>Cerrojo Llave - mariposa marca Schlage Serie B300 acabado cromo satinado</v>
          </cell>
          <cell r="E306" t="str">
            <v>B360N</v>
          </cell>
          <cell r="F306" t="str">
            <v>Schlage</v>
          </cell>
          <cell r="G306">
            <v>626</v>
          </cell>
          <cell r="H306" t="str">
            <v>Schlage</v>
          </cell>
          <cell r="I306">
            <v>42.8</v>
          </cell>
          <cell r="J306">
            <v>0.46</v>
          </cell>
          <cell r="K306">
            <v>19.687999999999999</v>
          </cell>
          <cell r="L306">
            <v>1</v>
          </cell>
          <cell r="M306">
            <v>1.1299999999999999</v>
          </cell>
          <cell r="N306">
            <v>1.05</v>
          </cell>
          <cell r="O306">
            <v>999.79995359999975</v>
          </cell>
          <cell r="P306" t="str">
            <v>210-65</v>
          </cell>
        </row>
        <row r="307">
          <cell r="A307">
            <v>231</v>
          </cell>
          <cell r="B307">
            <v>16</v>
          </cell>
          <cell r="C307" t="str">
            <v>Cerrojo Llave - Llave marca Schlage Serie B300 acabado cromo satinado</v>
          </cell>
          <cell r="E307" t="str">
            <v>B362N</v>
          </cell>
          <cell r="F307" t="str">
            <v>Schlage</v>
          </cell>
          <cell r="G307">
            <v>626</v>
          </cell>
          <cell r="H307" t="str">
            <v>Schlage</v>
          </cell>
          <cell r="I307">
            <v>59.3</v>
          </cell>
          <cell r="J307">
            <v>0.46</v>
          </cell>
          <cell r="K307">
            <v>27.277999999999999</v>
          </cell>
          <cell r="L307">
            <v>1</v>
          </cell>
          <cell r="M307">
            <v>1.1299999999999999</v>
          </cell>
          <cell r="N307">
            <v>1.05</v>
          </cell>
          <cell r="O307">
            <v>1919.2650770999999</v>
          </cell>
          <cell r="P307" t="str">
            <v>210-66</v>
          </cell>
        </row>
        <row r="308">
          <cell r="A308">
            <v>232</v>
          </cell>
          <cell r="B308">
            <v>16</v>
          </cell>
          <cell r="C308" t="str">
            <v>Cerrojo solo Mariposa marca Schlage Serie B300 acabado cromo satinado</v>
          </cell>
          <cell r="E308" t="str">
            <v>B380</v>
          </cell>
          <cell r="F308" t="str">
            <v>Schlage</v>
          </cell>
          <cell r="G308">
            <v>626</v>
          </cell>
          <cell r="H308" t="str">
            <v>Schlage</v>
          </cell>
          <cell r="I308">
            <v>28.5</v>
          </cell>
          <cell r="J308">
            <v>0.46</v>
          </cell>
          <cell r="K308">
            <v>13.110000000000001</v>
          </cell>
          <cell r="L308">
            <v>1</v>
          </cell>
          <cell r="M308">
            <v>1.1299999999999999</v>
          </cell>
          <cell r="N308">
            <v>1.05</v>
          </cell>
          <cell r="O308">
            <v>443.31792750000005</v>
          </cell>
          <cell r="P308" t="str">
            <v>210-67</v>
          </cell>
        </row>
        <row r="310">
          <cell r="A310">
            <v>233</v>
          </cell>
          <cell r="B310">
            <v>16</v>
          </cell>
          <cell r="C310" t="str">
            <v>Cerrojo Llave - mariposa marca Schlage Serie B600 acabado cromo satinado</v>
          </cell>
          <cell r="E310" t="str">
            <v>B660P</v>
          </cell>
          <cell r="F310" t="str">
            <v>Schlage</v>
          </cell>
          <cell r="G310">
            <v>626</v>
          </cell>
          <cell r="H310" t="str">
            <v>Schlage</v>
          </cell>
          <cell r="I310">
            <v>102</v>
          </cell>
          <cell r="J310">
            <v>0.46</v>
          </cell>
          <cell r="K310">
            <v>46.92</v>
          </cell>
          <cell r="L310">
            <v>1</v>
          </cell>
          <cell r="M310">
            <v>1.1299999999999999</v>
          </cell>
          <cell r="N310">
            <v>1.05</v>
          </cell>
          <cell r="O310">
            <v>5678.3991599999999</v>
          </cell>
          <cell r="P310" t="str">
            <v>210-65</v>
          </cell>
        </row>
        <row r="311">
          <cell r="A311">
            <v>234</v>
          </cell>
          <cell r="B311">
            <v>16</v>
          </cell>
          <cell r="C311" t="str">
            <v>Cerrojo Llave - Tapa Ciega marca Schlage Serie B600 acabado cromo satinado</v>
          </cell>
          <cell r="E311" t="str">
            <v>B661P</v>
          </cell>
          <cell r="F311" t="str">
            <v>Schlage</v>
          </cell>
          <cell r="G311">
            <v>626</v>
          </cell>
          <cell r="H311" t="str">
            <v>Schlage</v>
          </cell>
          <cell r="I311">
            <v>102</v>
          </cell>
          <cell r="J311">
            <v>0.52</v>
          </cell>
          <cell r="K311">
            <v>53.04</v>
          </cell>
          <cell r="L311">
            <v>1</v>
          </cell>
          <cell r="M311">
            <v>1.1299999999999999</v>
          </cell>
          <cell r="N311">
            <v>1.05</v>
          </cell>
          <cell r="O311">
            <v>6419.0599199999997</v>
          </cell>
          <cell r="P311" t="str">
            <v>210-66</v>
          </cell>
        </row>
        <row r="312">
          <cell r="A312">
            <v>235</v>
          </cell>
          <cell r="B312">
            <v>16</v>
          </cell>
          <cell r="C312" t="str">
            <v>Cerrojo Llave - Llave marca Schlage Serie B600 acabado cromo satinado</v>
          </cell>
          <cell r="E312" t="str">
            <v>B662P</v>
          </cell>
          <cell r="F312" t="str">
            <v>Schlage</v>
          </cell>
          <cell r="G312">
            <v>626</v>
          </cell>
          <cell r="H312" t="str">
            <v>Schlage</v>
          </cell>
          <cell r="I312">
            <v>129</v>
          </cell>
          <cell r="J312">
            <v>0.46</v>
          </cell>
          <cell r="K312">
            <v>59.34</v>
          </cell>
          <cell r="L312">
            <v>1</v>
          </cell>
          <cell r="M312">
            <v>1.1299999999999999</v>
          </cell>
          <cell r="N312">
            <v>1.05</v>
          </cell>
          <cell r="O312">
            <v>9082.491390000001</v>
          </cell>
          <cell r="P312" t="str">
            <v>210-66</v>
          </cell>
        </row>
        <row r="313">
          <cell r="A313">
            <v>236</v>
          </cell>
          <cell r="B313">
            <v>16</v>
          </cell>
          <cell r="C313" t="str">
            <v>Cerrojo solo Llave marca Schlage Serie B600 acabado cromo satinado</v>
          </cell>
          <cell r="E313" t="str">
            <v>B664P</v>
          </cell>
          <cell r="F313" t="str">
            <v>Schlage</v>
          </cell>
          <cell r="G313">
            <v>626</v>
          </cell>
          <cell r="H313" t="str">
            <v>Schlage</v>
          </cell>
          <cell r="I313">
            <v>102</v>
          </cell>
          <cell r="J313">
            <v>0.46</v>
          </cell>
          <cell r="K313">
            <v>46.92</v>
          </cell>
          <cell r="L313">
            <v>1</v>
          </cell>
          <cell r="M313">
            <v>1.1299999999999999</v>
          </cell>
          <cell r="N313">
            <v>1.05</v>
          </cell>
          <cell r="O313">
            <v>5678.3991599999999</v>
          </cell>
          <cell r="P313" t="str">
            <v>210-67</v>
          </cell>
        </row>
        <row r="314">
          <cell r="A314" t="str">
            <v>236-A</v>
          </cell>
          <cell r="B314">
            <v>16</v>
          </cell>
          <cell r="C314" t="str">
            <v>Cerrojo Mariposa por Dentro e indicador de ocupado por fuera marca Falcon Serie B800 acabado cromo satinado</v>
          </cell>
          <cell r="E314" t="str">
            <v>D871</v>
          </cell>
          <cell r="F314" t="str">
            <v>Falcon</v>
          </cell>
          <cell r="G314">
            <v>626</v>
          </cell>
          <cell r="H314" t="str">
            <v>Falcon</v>
          </cell>
          <cell r="I314">
            <v>43</v>
          </cell>
          <cell r="J314">
            <v>0.42</v>
          </cell>
          <cell r="K314">
            <v>18.059999999999999</v>
          </cell>
          <cell r="L314" t="e">
            <v>#N/A</v>
          </cell>
          <cell r="M314" t="e">
            <v>#N/A</v>
          </cell>
          <cell r="N314" t="e">
            <v>#N/A</v>
          </cell>
          <cell r="O314" t="e">
            <v>#N/A</v>
          </cell>
          <cell r="P314" t="str">
            <v>210-67</v>
          </cell>
        </row>
        <row r="315">
          <cell r="A315" t="e">
            <v>#N/A</v>
          </cell>
          <cell r="B315">
            <v>16</v>
          </cell>
          <cell r="C315" t="e">
            <v>#N/A</v>
          </cell>
          <cell r="E315" t="str">
            <v>D861M</v>
          </cell>
          <cell r="F315" t="str">
            <v>Falcon</v>
          </cell>
          <cell r="G315">
            <v>626</v>
          </cell>
          <cell r="H315" t="str">
            <v>Falcon</v>
          </cell>
          <cell r="I315">
            <v>37</v>
          </cell>
          <cell r="J315">
            <v>0.42</v>
          </cell>
          <cell r="K315">
            <v>15.54</v>
          </cell>
          <cell r="L315" t="e">
            <v>#N/A</v>
          </cell>
          <cell r="M315" t="e">
            <v>#N/A</v>
          </cell>
          <cell r="N315" t="e">
            <v>#N/A</v>
          </cell>
          <cell r="O315" t="e">
            <v>#N/A</v>
          </cell>
          <cell r="P315" t="str">
            <v>210-67</v>
          </cell>
        </row>
        <row r="316">
          <cell r="C316" t="str">
            <v>BARRAS DE PANICO VD</v>
          </cell>
        </row>
        <row r="317">
          <cell r="A317">
            <v>237</v>
          </cell>
          <cell r="B317">
            <v>17</v>
          </cell>
          <cell r="C317" t="str">
            <v xml:space="preserve">Barra Panico Horizontal marca Von Duprin. Mod. 22EO. Acabado aluminio de: </v>
          </cell>
          <cell r="D317" t="str">
            <v>36"</v>
          </cell>
          <cell r="E317" t="str">
            <v>22EO-36</v>
          </cell>
          <cell r="F317" t="str">
            <v>Von Duprin</v>
          </cell>
          <cell r="G317">
            <v>689</v>
          </cell>
          <cell r="H317" t="str">
            <v>Von Duprin</v>
          </cell>
          <cell r="I317">
            <v>287</v>
          </cell>
          <cell r="J317">
            <v>0.47</v>
          </cell>
          <cell r="K317">
            <v>134.88999999999999</v>
          </cell>
          <cell r="L317" t="e">
            <v>#N/A</v>
          </cell>
          <cell r="M317" t="e">
            <v>#N/A</v>
          </cell>
          <cell r="N317" t="e">
            <v>#N/A</v>
          </cell>
          <cell r="O317" t="e">
            <v>#N/A</v>
          </cell>
          <cell r="P317" t="str">
            <v>201-001</v>
          </cell>
        </row>
        <row r="318">
          <cell r="A318">
            <v>238</v>
          </cell>
          <cell r="B318">
            <v>17</v>
          </cell>
          <cell r="C318" t="str">
            <v xml:space="preserve">Barra Panico Horizontal marca Von Duprin. Mod. 22EO. Acabado aluminio de: </v>
          </cell>
          <cell r="D318" t="str">
            <v>48"</v>
          </cell>
          <cell r="E318" t="str">
            <v>22EO-48</v>
          </cell>
          <cell r="F318" t="str">
            <v>Von Duprin</v>
          </cell>
          <cell r="G318">
            <v>689</v>
          </cell>
          <cell r="H318" t="str">
            <v>Von Duprin</v>
          </cell>
          <cell r="I318">
            <v>299</v>
          </cell>
          <cell r="J318">
            <v>0.47</v>
          </cell>
          <cell r="K318">
            <v>140.53</v>
          </cell>
          <cell r="L318" t="e">
            <v>#N/A</v>
          </cell>
          <cell r="M318" t="e">
            <v>#N/A</v>
          </cell>
          <cell r="N318" t="e">
            <v>#N/A</v>
          </cell>
          <cell r="O318" t="e">
            <v>#N/A</v>
          </cell>
          <cell r="P318" t="str">
            <v>201-002</v>
          </cell>
        </row>
        <row r="319">
          <cell r="A319">
            <v>239</v>
          </cell>
          <cell r="B319">
            <v>17</v>
          </cell>
          <cell r="C319" t="str">
            <v xml:space="preserve">Barra Panico Horizontal con chapa al exterior tipo manivela Marca Von Duprin. Mod. 22L acabado aluminio de: </v>
          </cell>
          <cell r="D319" t="str">
            <v>36"</v>
          </cell>
          <cell r="E319" t="str">
            <v>22L-36</v>
          </cell>
          <cell r="F319" t="str">
            <v>Von Duprin</v>
          </cell>
          <cell r="G319">
            <v>689</v>
          </cell>
          <cell r="H319" t="str">
            <v>Von Duprin</v>
          </cell>
          <cell r="I319">
            <v>497</v>
          </cell>
          <cell r="J319">
            <v>0.47</v>
          </cell>
          <cell r="K319">
            <v>233.58999999999997</v>
          </cell>
          <cell r="L319" t="e">
            <v>#N/A</v>
          </cell>
          <cell r="M319" t="e">
            <v>#N/A</v>
          </cell>
          <cell r="N319" t="e">
            <v>#N/A</v>
          </cell>
          <cell r="O319" t="e">
            <v>#N/A</v>
          </cell>
          <cell r="P319" t="str">
            <v>201-002</v>
          </cell>
        </row>
        <row r="320">
          <cell r="A320">
            <v>240</v>
          </cell>
          <cell r="B320">
            <v>17</v>
          </cell>
          <cell r="C320" t="str">
            <v xml:space="preserve">Barra Panico Horizontal con chapa al exterior tipo manivela Marca Von Duprin. Mod. 22L acabado aluminio de: </v>
          </cell>
          <cell r="D320" t="str">
            <v>48"</v>
          </cell>
          <cell r="E320" t="str">
            <v>22L-48</v>
          </cell>
          <cell r="F320" t="str">
            <v>Von Duprin</v>
          </cell>
          <cell r="G320">
            <v>689</v>
          </cell>
          <cell r="H320" t="str">
            <v>Von Duprin</v>
          </cell>
          <cell r="I320">
            <v>509</v>
          </cell>
          <cell r="J320">
            <v>0.47</v>
          </cell>
          <cell r="K320">
            <v>239.23</v>
          </cell>
          <cell r="L320" t="e">
            <v>#N/A</v>
          </cell>
          <cell r="M320" t="e">
            <v>#N/A</v>
          </cell>
          <cell r="N320" t="e">
            <v>#N/A</v>
          </cell>
          <cell r="O320" t="e">
            <v>#N/A</v>
          </cell>
          <cell r="P320" t="str">
            <v>201-003</v>
          </cell>
        </row>
        <row r="322">
          <cell r="A322">
            <v>241</v>
          </cell>
          <cell r="B322">
            <v>17</v>
          </cell>
          <cell r="C322" t="str">
            <v xml:space="preserve">Barra Panico Vertical marca Von Duprin. Mod. 2227EO. Acabado aluminio de: </v>
          </cell>
          <cell r="D322" t="str">
            <v>36"</v>
          </cell>
          <cell r="E322" t="str">
            <v>2227EO-36</v>
          </cell>
          <cell r="F322" t="str">
            <v>Von Duprin</v>
          </cell>
          <cell r="G322">
            <v>689</v>
          </cell>
          <cell r="H322" t="str">
            <v>Von Duprin</v>
          </cell>
          <cell r="I322">
            <v>490</v>
          </cell>
          <cell r="J322">
            <v>0.47</v>
          </cell>
          <cell r="K322">
            <v>230.29999999999998</v>
          </cell>
          <cell r="L322" t="e">
            <v>#N/A</v>
          </cell>
          <cell r="M322" t="e">
            <v>#N/A</v>
          </cell>
          <cell r="N322" t="e">
            <v>#N/A</v>
          </cell>
          <cell r="O322" t="e">
            <v>#N/A</v>
          </cell>
          <cell r="P322" t="str">
            <v>201-001</v>
          </cell>
        </row>
        <row r="323">
          <cell r="A323">
            <v>242</v>
          </cell>
          <cell r="B323">
            <v>17</v>
          </cell>
          <cell r="C323" t="str">
            <v xml:space="preserve">Barra Panico Horizontal marca Von Duprin. Mod. 2227EO. Acabado aluminio de: </v>
          </cell>
          <cell r="D323" t="str">
            <v>48"</v>
          </cell>
          <cell r="E323" t="str">
            <v>2227EO-48</v>
          </cell>
          <cell r="F323" t="str">
            <v>Von Duprin</v>
          </cell>
          <cell r="G323">
            <v>689</v>
          </cell>
          <cell r="H323" t="str">
            <v>Von Duprin</v>
          </cell>
          <cell r="I323">
            <v>502</v>
          </cell>
          <cell r="J323">
            <v>0.47</v>
          </cell>
          <cell r="K323">
            <v>235.94</v>
          </cell>
          <cell r="L323" t="e">
            <v>#N/A</v>
          </cell>
          <cell r="M323" t="e">
            <v>#N/A</v>
          </cell>
          <cell r="N323" t="e">
            <v>#N/A</v>
          </cell>
          <cell r="O323" t="e">
            <v>#N/A</v>
          </cell>
          <cell r="P323" t="str">
            <v>201-002</v>
          </cell>
        </row>
        <row r="324">
          <cell r="A324">
            <v>243</v>
          </cell>
          <cell r="B324">
            <v>17</v>
          </cell>
          <cell r="C324" t="str">
            <v xml:space="preserve">Barra Panico Horizontal con chapa al exterior tipo manivela Marca Von Duprin. Mod. 22L acabado aluminio de: </v>
          </cell>
          <cell r="D324" t="str">
            <v>36"</v>
          </cell>
          <cell r="E324" t="str">
            <v>2227L-36</v>
          </cell>
          <cell r="F324" t="str">
            <v>Von Duprin</v>
          </cell>
          <cell r="G324">
            <v>689</v>
          </cell>
          <cell r="H324" t="str">
            <v>Von Duprin</v>
          </cell>
          <cell r="I324">
            <v>700</v>
          </cell>
          <cell r="J324">
            <v>0.47</v>
          </cell>
          <cell r="K324">
            <v>329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str">
            <v>201-002</v>
          </cell>
        </row>
        <row r="325">
          <cell r="A325">
            <v>244</v>
          </cell>
          <cell r="B325">
            <v>17</v>
          </cell>
          <cell r="C325" t="str">
            <v xml:space="preserve">Barra Panico Horizontal con chapa al exterior tipo manivela Marca Von Duprin. Mod. 22L acabado aluminio de: </v>
          </cell>
          <cell r="D325" t="str">
            <v>48"</v>
          </cell>
          <cell r="E325" t="str">
            <v>2227L-48</v>
          </cell>
          <cell r="F325" t="str">
            <v>Von Duprin</v>
          </cell>
          <cell r="G325">
            <v>689</v>
          </cell>
          <cell r="H325" t="str">
            <v>Von Duprin</v>
          </cell>
          <cell r="I325">
            <v>712</v>
          </cell>
          <cell r="J325">
            <v>0.47</v>
          </cell>
          <cell r="K325">
            <v>334.64</v>
          </cell>
          <cell r="L325" t="e">
            <v>#N/A</v>
          </cell>
          <cell r="M325" t="e">
            <v>#N/A</v>
          </cell>
          <cell r="N325" t="e">
            <v>#N/A</v>
          </cell>
          <cell r="O325" t="e">
            <v>#N/A</v>
          </cell>
          <cell r="P325" t="str">
            <v>201-003</v>
          </cell>
        </row>
        <row r="327">
          <cell r="A327">
            <v>245</v>
          </cell>
          <cell r="B327">
            <v>17</v>
          </cell>
          <cell r="C327" t="str">
            <v xml:space="preserve">Barra Panico Horizontal marca Von Duprin. Mod. 22EO Certificadas contra fuego WH 180 min. Acabado aluminio de: </v>
          </cell>
          <cell r="D327" t="str">
            <v>36"</v>
          </cell>
          <cell r="E327" t="str">
            <v>22EO-F-36</v>
          </cell>
          <cell r="F327" t="str">
            <v>Von Duprin</v>
          </cell>
          <cell r="G327">
            <v>689</v>
          </cell>
          <cell r="H327" t="str">
            <v>Von Duprin</v>
          </cell>
          <cell r="I327">
            <v>367</v>
          </cell>
          <cell r="J327">
            <v>0.47</v>
          </cell>
          <cell r="K327">
            <v>172.48999999999998</v>
          </cell>
          <cell r="L327" t="e">
            <v>#N/A</v>
          </cell>
          <cell r="M327" t="e">
            <v>#N/A</v>
          </cell>
          <cell r="N327" t="e">
            <v>#N/A</v>
          </cell>
          <cell r="O327" t="e">
            <v>#N/A</v>
          </cell>
          <cell r="P327" t="str">
            <v>201-001</v>
          </cell>
        </row>
        <row r="328">
          <cell r="A328">
            <v>246</v>
          </cell>
          <cell r="B328">
            <v>17</v>
          </cell>
          <cell r="C328" t="str">
            <v xml:space="preserve">Barra Panico Horizontal marca Von Duprin. Mod. 22EO Certificadas contra fuego WH 180 min. Acabado aluminio de: </v>
          </cell>
          <cell r="D328" t="str">
            <v>48"</v>
          </cell>
          <cell r="E328" t="str">
            <v>22EO-F-48</v>
          </cell>
          <cell r="F328" t="str">
            <v>Von Duprin</v>
          </cell>
          <cell r="G328">
            <v>689</v>
          </cell>
          <cell r="H328" t="str">
            <v>Von Duprin</v>
          </cell>
          <cell r="I328">
            <v>379</v>
          </cell>
          <cell r="J328">
            <v>0.47</v>
          </cell>
          <cell r="K328">
            <v>178.13</v>
          </cell>
          <cell r="L328" t="e">
            <v>#N/A</v>
          </cell>
          <cell r="M328" t="e">
            <v>#N/A</v>
          </cell>
          <cell r="N328" t="e">
            <v>#N/A</v>
          </cell>
          <cell r="O328" t="e">
            <v>#N/A</v>
          </cell>
          <cell r="P328" t="str">
            <v>201-002</v>
          </cell>
        </row>
        <row r="329">
          <cell r="A329">
            <v>247</v>
          </cell>
          <cell r="B329">
            <v>17</v>
          </cell>
          <cell r="C329" t="str">
            <v xml:space="preserve">Barra Panico Horizontal con chapa al exterior tipo manivela Marca Von Duprin. Mod. 22L Certificadas contra fuego WH 180 min acabado aluminio de: </v>
          </cell>
          <cell r="D329" t="str">
            <v>36"</v>
          </cell>
          <cell r="E329" t="str">
            <v>22L-F-36</v>
          </cell>
          <cell r="F329" t="str">
            <v>Von Duprin</v>
          </cell>
          <cell r="G329">
            <v>689</v>
          </cell>
          <cell r="H329" t="str">
            <v>Von Duprin</v>
          </cell>
          <cell r="I329">
            <v>577</v>
          </cell>
          <cell r="J329">
            <v>0.47</v>
          </cell>
          <cell r="K329">
            <v>271.19</v>
          </cell>
          <cell r="L329" t="e">
            <v>#N/A</v>
          </cell>
          <cell r="M329" t="e">
            <v>#N/A</v>
          </cell>
          <cell r="N329" t="e">
            <v>#N/A</v>
          </cell>
          <cell r="O329" t="e">
            <v>#N/A</v>
          </cell>
          <cell r="P329" t="str">
            <v>201-002</v>
          </cell>
        </row>
        <row r="330">
          <cell r="A330">
            <v>248</v>
          </cell>
          <cell r="B330">
            <v>17</v>
          </cell>
          <cell r="C330" t="str">
            <v xml:space="preserve">Barra Panico Horizontal con chapa al exterior tipo manivela Marca Von Duprin. Mod. 22L Certificadas contra fuego WH 180 min acabado aluminio de: </v>
          </cell>
          <cell r="D330" t="str">
            <v>48"</v>
          </cell>
          <cell r="E330" t="str">
            <v>22L-F-48</v>
          </cell>
          <cell r="F330" t="str">
            <v>Von Duprin</v>
          </cell>
          <cell r="G330">
            <v>689</v>
          </cell>
          <cell r="H330" t="str">
            <v>Von Duprin</v>
          </cell>
          <cell r="I330">
            <v>589</v>
          </cell>
          <cell r="J330">
            <v>0.47</v>
          </cell>
          <cell r="K330">
            <v>276.83</v>
          </cell>
          <cell r="L330" t="e">
            <v>#N/A</v>
          </cell>
          <cell r="M330" t="e">
            <v>#N/A</v>
          </cell>
          <cell r="N330" t="e">
            <v>#N/A</v>
          </cell>
          <cell r="O330" t="e">
            <v>#N/A</v>
          </cell>
          <cell r="P330" t="str">
            <v>201-003</v>
          </cell>
        </row>
        <row r="332">
          <cell r="A332">
            <v>249</v>
          </cell>
          <cell r="B332">
            <v>17</v>
          </cell>
          <cell r="C332" t="str">
            <v xml:space="preserve">Barra Panico Vertical marca Von Duprin. Mod. 2227EO Certificadas contra fuego WH 180 min. Acabado aluminio de: </v>
          </cell>
          <cell r="D332" t="str">
            <v>36"</v>
          </cell>
          <cell r="E332" t="str">
            <v>2227EO-F-36</v>
          </cell>
          <cell r="F332" t="str">
            <v>Von Duprin</v>
          </cell>
          <cell r="G332">
            <v>689</v>
          </cell>
          <cell r="H332" t="str">
            <v>Von Duprin</v>
          </cell>
          <cell r="I332">
            <v>652</v>
          </cell>
          <cell r="J332">
            <v>0.41</v>
          </cell>
          <cell r="K332">
            <v>267.32</v>
          </cell>
          <cell r="L332" t="e">
            <v>#N/A</v>
          </cell>
          <cell r="M332" t="e">
            <v>#N/A</v>
          </cell>
          <cell r="N332" t="e">
            <v>#N/A</v>
          </cell>
          <cell r="O332" t="e">
            <v>#N/A</v>
          </cell>
          <cell r="P332" t="str">
            <v>201-001</v>
          </cell>
        </row>
        <row r="333">
          <cell r="A333">
            <v>250</v>
          </cell>
          <cell r="B333">
            <v>17</v>
          </cell>
          <cell r="C333" t="str">
            <v xml:space="preserve">Barra Panico Horizontal marca Von Duprin. Mod. 2227EO Certificadas contra fuego WH 180 min. Acabado aluminio de: </v>
          </cell>
          <cell r="D333" t="str">
            <v>48"</v>
          </cell>
          <cell r="E333" t="str">
            <v>2227EO-F-48</v>
          </cell>
          <cell r="F333" t="str">
            <v>Von Duprin</v>
          </cell>
          <cell r="G333">
            <v>689</v>
          </cell>
          <cell r="H333" t="str">
            <v>Von Duprin</v>
          </cell>
          <cell r="I333">
            <v>664</v>
          </cell>
          <cell r="J333">
            <v>0.41</v>
          </cell>
          <cell r="K333">
            <v>272.24</v>
          </cell>
          <cell r="L333" t="e">
            <v>#N/A</v>
          </cell>
          <cell r="M333" t="e">
            <v>#N/A</v>
          </cell>
          <cell r="N333" t="e">
            <v>#N/A</v>
          </cell>
          <cell r="O333" t="e">
            <v>#N/A</v>
          </cell>
          <cell r="P333" t="str">
            <v>201-002</v>
          </cell>
        </row>
        <row r="334">
          <cell r="A334">
            <v>251</v>
          </cell>
          <cell r="B334">
            <v>17</v>
          </cell>
          <cell r="C334" t="str">
            <v xml:space="preserve">Barra Panico Horizontal con chapa al exterior tipo manivela Marca Von Duprin. Mod. 22L Certificadas contra fuego WH 180 min acabado Aluminio de: </v>
          </cell>
          <cell r="D334" t="str">
            <v>36"</v>
          </cell>
          <cell r="E334" t="str">
            <v>2227L-F-36</v>
          </cell>
          <cell r="F334" t="str">
            <v>Von Duprin</v>
          </cell>
          <cell r="G334">
            <v>689</v>
          </cell>
          <cell r="H334" t="str">
            <v>Von Duprin</v>
          </cell>
          <cell r="I334">
            <v>862</v>
          </cell>
          <cell r="J334">
            <v>0.41</v>
          </cell>
          <cell r="K334">
            <v>353.41999999999996</v>
          </cell>
          <cell r="L334" t="e">
            <v>#N/A</v>
          </cell>
          <cell r="M334" t="e">
            <v>#N/A</v>
          </cell>
          <cell r="N334" t="e">
            <v>#N/A</v>
          </cell>
          <cell r="O334" t="e">
            <v>#N/A</v>
          </cell>
          <cell r="P334" t="str">
            <v>201-002</v>
          </cell>
        </row>
        <row r="335">
          <cell r="A335">
            <v>252</v>
          </cell>
          <cell r="B335">
            <v>17</v>
          </cell>
          <cell r="C335" t="str">
            <v xml:space="preserve">Barra Panico Horizontal con chapa al exterior tipo manivela Marca Von Duprin. Mod. 22L Certificadas contra fuego WH 180 min acabado aluminio de: </v>
          </cell>
          <cell r="D335" t="str">
            <v>48"</v>
          </cell>
          <cell r="E335" t="str">
            <v>2227L-F-48</v>
          </cell>
          <cell r="F335" t="str">
            <v>Von Duprin</v>
          </cell>
          <cell r="G335">
            <v>689</v>
          </cell>
          <cell r="H335" t="str">
            <v>Von Duprin</v>
          </cell>
          <cell r="I335">
            <v>874</v>
          </cell>
          <cell r="J335">
            <v>0.41</v>
          </cell>
          <cell r="K335">
            <v>358.34</v>
          </cell>
          <cell r="L335" t="e">
            <v>#N/A</v>
          </cell>
          <cell r="M335" t="e">
            <v>#N/A</v>
          </cell>
          <cell r="N335" t="e">
            <v>#N/A</v>
          </cell>
          <cell r="O335" t="e">
            <v>#N/A</v>
          </cell>
          <cell r="P335" t="str">
            <v>201-003</v>
          </cell>
        </row>
        <row r="336">
          <cell r="C336" t="str">
            <v>BARRAS DE PANICO MONARCH</v>
          </cell>
        </row>
        <row r="337">
          <cell r="A337">
            <v>253</v>
          </cell>
          <cell r="B337">
            <v>18</v>
          </cell>
          <cell r="C337" t="str">
            <v xml:space="preserve">Barra Panico Horizontal marca Monarch Mod. 19R-BA  Acabado aluminio de: </v>
          </cell>
          <cell r="D337" t="str">
            <v>36"</v>
          </cell>
          <cell r="E337" t="str">
            <v>19R-BA-36</v>
          </cell>
          <cell r="F337" t="str">
            <v>Monarch</v>
          </cell>
          <cell r="G337">
            <v>689</v>
          </cell>
          <cell r="H337" t="str">
            <v>Monarch</v>
          </cell>
          <cell r="I337">
            <v>222</v>
          </cell>
          <cell r="J337">
            <v>0.53</v>
          </cell>
          <cell r="K337">
            <v>117.66000000000001</v>
          </cell>
          <cell r="L337" t="e">
            <v>#N/A</v>
          </cell>
          <cell r="M337" t="e">
            <v>#N/A</v>
          </cell>
          <cell r="N337" t="e">
            <v>#N/A</v>
          </cell>
          <cell r="O337" t="e">
            <v>#N/A</v>
          </cell>
          <cell r="P337" t="str">
            <v>201-001</v>
          </cell>
        </row>
        <row r="338">
          <cell r="A338">
            <v>254</v>
          </cell>
          <cell r="B338">
            <v>18</v>
          </cell>
          <cell r="C338" t="str">
            <v xml:space="preserve">Barra Panico Horizontal marca Monarch Mod. 19R-BA  Acabado aluminio de: </v>
          </cell>
          <cell r="D338" t="str">
            <v>48"</v>
          </cell>
          <cell r="E338" t="str">
            <v>19R-BA-48</v>
          </cell>
          <cell r="F338" t="str">
            <v>Monarch</v>
          </cell>
          <cell r="G338">
            <v>689</v>
          </cell>
          <cell r="H338" t="str">
            <v>Monarch</v>
          </cell>
          <cell r="I338">
            <v>234</v>
          </cell>
          <cell r="J338">
            <v>0.53</v>
          </cell>
          <cell r="K338">
            <v>124.02000000000001</v>
          </cell>
          <cell r="L338" t="e">
            <v>#N/A</v>
          </cell>
          <cell r="M338" t="e">
            <v>#N/A</v>
          </cell>
          <cell r="N338" t="e">
            <v>#N/A</v>
          </cell>
          <cell r="O338" t="e">
            <v>#N/A</v>
          </cell>
          <cell r="P338" t="str">
            <v>201-002</v>
          </cell>
        </row>
        <row r="339">
          <cell r="A339">
            <v>255</v>
          </cell>
          <cell r="B339">
            <v>18</v>
          </cell>
          <cell r="C339" t="str">
            <v xml:space="preserve">Barra Panico Horizontal marca Monarch Mod. 19R-TC  Acabado aluminio de: </v>
          </cell>
          <cell r="D339" t="str">
            <v>36"</v>
          </cell>
          <cell r="E339" t="str">
            <v>19R-TC-36</v>
          </cell>
          <cell r="F339" t="str">
            <v>Monarch</v>
          </cell>
          <cell r="G339">
            <v>689</v>
          </cell>
          <cell r="H339" t="str">
            <v>Monarch</v>
          </cell>
          <cell r="I339">
            <v>334</v>
          </cell>
          <cell r="J339">
            <v>0.53</v>
          </cell>
          <cell r="K339">
            <v>177.02</v>
          </cell>
          <cell r="L339" t="e">
            <v>#N/A</v>
          </cell>
          <cell r="M339" t="e">
            <v>#N/A</v>
          </cell>
          <cell r="N339" t="e">
            <v>#N/A</v>
          </cell>
          <cell r="O339" t="e">
            <v>#N/A</v>
          </cell>
          <cell r="P339" t="str">
            <v>201-001</v>
          </cell>
        </row>
        <row r="340">
          <cell r="A340">
            <v>256</v>
          </cell>
          <cell r="B340">
            <v>18</v>
          </cell>
          <cell r="C340" t="str">
            <v xml:space="preserve">Barra Panico Horizontal marca Monarch Mod. 19R-TC  Acabado aluminio de: </v>
          </cell>
          <cell r="D340" t="str">
            <v>48"</v>
          </cell>
          <cell r="E340" t="str">
            <v>19R-TC-48</v>
          </cell>
          <cell r="F340" t="str">
            <v>Monarch</v>
          </cell>
          <cell r="G340">
            <v>689</v>
          </cell>
          <cell r="H340" t="str">
            <v>Monarch</v>
          </cell>
          <cell r="I340">
            <v>346</v>
          </cell>
          <cell r="J340">
            <v>0.53</v>
          </cell>
          <cell r="K340">
            <v>183.38</v>
          </cell>
          <cell r="L340" t="e">
            <v>#N/A</v>
          </cell>
          <cell r="M340" t="e">
            <v>#N/A</v>
          </cell>
          <cell r="N340" t="e">
            <v>#N/A</v>
          </cell>
          <cell r="O340" t="e">
            <v>#N/A</v>
          </cell>
          <cell r="P340" t="str">
            <v>201-002</v>
          </cell>
        </row>
        <row r="342">
          <cell r="A342">
            <v>257</v>
          </cell>
          <cell r="B342">
            <v>18</v>
          </cell>
          <cell r="C342" t="str">
            <v xml:space="preserve">Barra Panico Vertical marca Monarch Mod. 19V-BA  Acabado aluminio de: </v>
          </cell>
          <cell r="D342" t="str">
            <v>36"</v>
          </cell>
          <cell r="E342" t="str">
            <v>19V-BA-36</v>
          </cell>
          <cell r="F342" t="str">
            <v>Monarch</v>
          </cell>
          <cell r="G342">
            <v>689</v>
          </cell>
          <cell r="H342" t="str">
            <v>Monarch</v>
          </cell>
          <cell r="I342">
            <v>336</v>
          </cell>
          <cell r="J342">
            <v>0.53</v>
          </cell>
          <cell r="K342">
            <v>178.08</v>
          </cell>
          <cell r="L342" t="e">
            <v>#N/A</v>
          </cell>
          <cell r="M342" t="e">
            <v>#N/A</v>
          </cell>
          <cell r="N342" t="e">
            <v>#N/A</v>
          </cell>
          <cell r="O342" t="e">
            <v>#N/A</v>
          </cell>
          <cell r="P342" t="str">
            <v>201-001</v>
          </cell>
        </row>
        <row r="343">
          <cell r="A343">
            <v>258</v>
          </cell>
          <cell r="B343">
            <v>18</v>
          </cell>
          <cell r="C343" t="str">
            <v xml:space="preserve">Barra Panico Vertical marca Monarch Mod. 19V-BA  Acabado aluminio de: </v>
          </cell>
          <cell r="D343" t="str">
            <v>48"</v>
          </cell>
          <cell r="E343" t="str">
            <v>19V-BA-48</v>
          </cell>
          <cell r="F343" t="str">
            <v>Monarch</v>
          </cell>
          <cell r="G343">
            <v>689</v>
          </cell>
          <cell r="H343" t="str">
            <v>Monarch</v>
          </cell>
          <cell r="I343">
            <v>348</v>
          </cell>
          <cell r="J343">
            <v>0.53</v>
          </cell>
          <cell r="K343">
            <v>184.44</v>
          </cell>
          <cell r="L343" t="e">
            <v>#N/A</v>
          </cell>
          <cell r="M343" t="e">
            <v>#N/A</v>
          </cell>
          <cell r="N343" t="e">
            <v>#N/A</v>
          </cell>
          <cell r="O343" t="e">
            <v>#N/A</v>
          </cell>
          <cell r="P343" t="str">
            <v>201-002</v>
          </cell>
        </row>
        <row r="344">
          <cell r="A344">
            <v>259</v>
          </cell>
          <cell r="B344">
            <v>18</v>
          </cell>
          <cell r="C344" t="str">
            <v xml:space="preserve">Barra Panico Vertical marca Monarch Mod. 19V-TC  Acabado aluminio de: </v>
          </cell>
          <cell r="D344" t="str">
            <v>36"</v>
          </cell>
          <cell r="E344" t="str">
            <v>19V-TC-36</v>
          </cell>
          <cell r="F344" t="str">
            <v>Monarch</v>
          </cell>
          <cell r="G344">
            <v>689</v>
          </cell>
          <cell r="H344" t="str">
            <v>Monarch</v>
          </cell>
          <cell r="I344">
            <v>448</v>
          </cell>
          <cell r="J344">
            <v>0.53</v>
          </cell>
          <cell r="K344">
            <v>237.44</v>
          </cell>
          <cell r="L344" t="e">
            <v>#N/A</v>
          </cell>
          <cell r="M344" t="e">
            <v>#N/A</v>
          </cell>
          <cell r="N344" t="e">
            <v>#N/A</v>
          </cell>
          <cell r="O344" t="e">
            <v>#N/A</v>
          </cell>
          <cell r="P344" t="str">
            <v>201-001</v>
          </cell>
        </row>
        <row r="345">
          <cell r="A345">
            <v>260</v>
          </cell>
          <cell r="B345">
            <v>18</v>
          </cell>
          <cell r="C345" t="str">
            <v xml:space="preserve">Barra Panico Vertical marca Monarch Mod. 19V-TC  Acabado aluminio de: </v>
          </cell>
          <cell r="D345" t="str">
            <v>48"</v>
          </cell>
          <cell r="E345" t="str">
            <v>19V-TC-48</v>
          </cell>
          <cell r="F345" t="str">
            <v>Monarch</v>
          </cell>
          <cell r="G345">
            <v>689</v>
          </cell>
          <cell r="H345" t="str">
            <v>Monarch</v>
          </cell>
          <cell r="I345">
            <v>460</v>
          </cell>
          <cell r="J345">
            <v>0.53</v>
          </cell>
          <cell r="K345">
            <v>243.8</v>
          </cell>
          <cell r="L345" t="e">
            <v>#N/A</v>
          </cell>
          <cell r="M345" t="e">
            <v>#N/A</v>
          </cell>
          <cell r="N345" t="e">
            <v>#N/A</v>
          </cell>
          <cell r="O345" t="e">
            <v>#N/A</v>
          </cell>
          <cell r="P345" t="str">
            <v>201-002</v>
          </cell>
        </row>
        <row r="346">
          <cell r="C346" t="str">
            <v>CIERRAPUERTAS LCN</v>
          </cell>
        </row>
        <row r="347">
          <cell r="A347">
            <v>261</v>
          </cell>
          <cell r="B347">
            <v>19</v>
          </cell>
          <cell r="C347" t="str">
            <v>Cierrapuertas Hidraulico uso regular Marca LCN, mod. 1371PA  Acabado Aluminio</v>
          </cell>
          <cell r="E347" t="str">
            <v>1371PA</v>
          </cell>
          <cell r="F347" t="str">
            <v>LCN</v>
          </cell>
          <cell r="G347" t="str">
            <v>Aluminio</v>
          </cell>
          <cell r="H347" t="str">
            <v>LCN</v>
          </cell>
          <cell r="I347">
            <v>150</v>
          </cell>
          <cell r="J347">
            <v>0.39</v>
          </cell>
          <cell r="K347">
            <v>58.5</v>
          </cell>
          <cell r="L347">
            <v>1</v>
          </cell>
          <cell r="M347">
            <v>1.07</v>
          </cell>
          <cell r="N347">
            <v>1.05</v>
          </cell>
          <cell r="O347">
            <v>9858.7124999999996</v>
          </cell>
          <cell r="P347" t="str">
            <v>501-003</v>
          </cell>
        </row>
        <row r="348">
          <cell r="A348">
            <v>262</v>
          </cell>
          <cell r="B348">
            <v>19</v>
          </cell>
          <cell r="C348" t="str">
            <v>Cierrapuertas Hidraulico uso regular con sostenedor de puerta Marca LCN, mod. 1371H  Acabado Aluminio</v>
          </cell>
          <cell r="E348" t="str">
            <v>1371H</v>
          </cell>
          <cell r="F348" t="str">
            <v>LCN</v>
          </cell>
          <cell r="G348" t="str">
            <v>Aluminio</v>
          </cell>
          <cell r="H348" t="str">
            <v>LCN</v>
          </cell>
          <cell r="I348">
            <v>162</v>
          </cell>
          <cell r="J348">
            <v>0.39</v>
          </cell>
          <cell r="K348">
            <v>63.18</v>
          </cell>
          <cell r="L348">
            <v>1</v>
          </cell>
          <cell r="M348">
            <v>1.07</v>
          </cell>
          <cell r="N348">
            <v>1.05</v>
          </cell>
          <cell r="O348">
            <v>11499.20226</v>
          </cell>
          <cell r="P348" t="str">
            <v>501-004</v>
          </cell>
        </row>
        <row r="349">
          <cell r="A349">
            <v>263</v>
          </cell>
          <cell r="B349">
            <v>19</v>
          </cell>
          <cell r="C349" t="str">
            <v>Cierrapuertas Hidraulico uso regular Marca LCN, mod. 1461PA  Acabado Aluminio</v>
          </cell>
          <cell r="E349" t="str">
            <v>1461PA</v>
          </cell>
          <cell r="F349" t="str">
            <v>LCN</v>
          </cell>
          <cell r="G349" t="str">
            <v>Aluminio</v>
          </cell>
          <cell r="H349" t="str">
            <v>LCN</v>
          </cell>
          <cell r="I349">
            <v>185</v>
          </cell>
          <cell r="J349">
            <v>0.39</v>
          </cell>
          <cell r="K349">
            <v>72.150000000000006</v>
          </cell>
          <cell r="L349">
            <v>1</v>
          </cell>
          <cell r="M349">
            <v>1.07</v>
          </cell>
          <cell r="N349">
            <v>1.05</v>
          </cell>
          <cell r="O349">
            <v>14996.197125000002</v>
          </cell>
          <cell r="P349" t="str">
            <v>501-003</v>
          </cell>
        </row>
        <row r="350">
          <cell r="A350">
            <v>264</v>
          </cell>
          <cell r="B350">
            <v>19</v>
          </cell>
          <cell r="C350" t="e">
            <v>#N/A</v>
          </cell>
          <cell r="E350" t="str">
            <v>1461H</v>
          </cell>
          <cell r="F350" t="str">
            <v>LCN</v>
          </cell>
          <cell r="G350" t="e">
            <v>#N/A</v>
          </cell>
          <cell r="H350" t="str">
            <v>LCN</v>
          </cell>
          <cell r="I350">
            <v>197</v>
          </cell>
          <cell r="J350">
            <v>0.39</v>
          </cell>
          <cell r="K350">
            <v>76.83</v>
          </cell>
          <cell r="L350">
            <v>1</v>
          </cell>
          <cell r="M350">
            <v>1.07</v>
          </cell>
          <cell r="N350">
            <v>1.05</v>
          </cell>
          <cell r="O350">
            <v>17004.745485000003</v>
          </cell>
          <cell r="P350" t="str">
            <v>501-004</v>
          </cell>
        </row>
        <row r="351">
          <cell r="A351">
            <v>265</v>
          </cell>
          <cell r="B351">
            <v>19</v>
          </cell>
          <cell r="C351" t="str">
            <v>Cierrapuertas Hidraulico  Oculto de uso regular, con sostenedor para 100 grados Marca LCN, mod. 3133. Acabado Aluminio</v>
          </cell>
          <cell r="E351" t="str">
            <v>3133H</v>
          </cell>
          <cell r="F351" t="str">
            <v>LCN</v>
          </cell>
          <cell r="G351" t="str">
            <v>Aluminio</v>
          </cell>
          <cell r="H351" t="str">
            <v>LCN</v>
          </cell>
          <cell r="I351">
            <v>254</v>
          </cell>
          <cell r="J351">
            <v>0.39</v>
          </cell>
          <cell r="K351">
            <v>99.06</v>
          </cell>
          <cell r="L351">
            <v>1</v>
          </cell>
          <cell r="M351">
            <v>1.07</v>
          </cell>
          <cell r="N351">
            <v>1.05</v>
          </cell>
          <cell r="O351">
            <v>28268.653140000006</v>
          </cell>
          <cell r="P351" t="str">
            <v>501-005</v>
          </cell>
        </row>
        <row r="352">
          <cell r="A352" t="str">
            <v>265-A</v>
          </cell>
          <cell r="B352">
            <v>19</v>
          </cell>
          <cell r="C352" t="str">
            <v>Sostenedor de Puertas Magnetico, marca LCN, mod. SEM7850. Acabado Aluminio.</v>
          </cell>
          <cell r="E352" t="str">
            <v>SEM7850</v>
          </cell>
          <cell r="F352" t="str">
            <v>LCN</v>
          </cell>
          <cell r="G352" t="str">
            <v>Aluminio</v>
          </cell>
          <cell r="H352" t="str">
            <v>LCN</v>
          </cell>
          <cell r="I352">
            <v>166</v>
          </cell>
          <cell r="J352">
            <v>0.56000000000000005</v>
          </cell>
          <cell r="K352">
            <v>92.960000000000008</v>
          </cell>
          <cell r="L352">
            <v>1</v>
          </cell>
          <cell r="M352">
            <v>1.07</v>
          </cell>
          <cell r="N352">
            <v>1.05</v>
          </cell>
          <cell r="O352">
            <v>17337.132960000003</v>
          </cell>
          <cell r="P352" t="str">
            <v>501-006</v>
          </cell>
        </row>
        <row r="353">
          <cell r="C353" t="str">
            <v>PLACAS DE EMPUJE Y PROTECCION</v>
          </cell>
        </row>
        <row r="354">
          <cell r="A354">
            <v>266</v>
          </cell>
          <cell r="B354">
            <v>20</v>
          </cell>
          <cell r="C354" t="str">
            <v xml:space="preserve">Placa de Empuje Marca Hager. Mod. 30 S, Acabado acero inoxidable medidas: </v>
          </cell>
          <cell r="D354" t="str">
            <v>4" x 16"</v>
          </cell>
          <cell r="E354" t="str">
            <v>30S</v>
          </cell>
          <cell r="F354" t="str">
            <v>Hager</v>
          </cell>
          <cell r="G354" t="str">
            <v>US32D</v>
          </cell>
          <cell r="H354" t="str">
            <v>Hager</v>
          </cell>
          <cell r="I354">
            <v>2.8</v>
          </cell>
          <cell r="J354">
            <v>1.63</v>
          </cell>
          <cell r="K354">
            <v>4.5639999999999992</v>
          </cell>
          <cell r="L354" t="e">
            <v>#N/A</v>
          </cell>
          <cell r="M354" t="e">
            <v>#N/A</v>
          </cell>
          <cell r="N354" t="e">
            <v>#N/A</v>
          </cell>
          <cell r="O354" t="e">
            <v>#N/A</v>
          </cell>
          <cell r="P354" t="str">
            <v>302-001</v>
          </cell>
        </row>
        <row r="355">
          <cell r="A355">
            <v>267</v>
          </cell>
          <cell r="B355">
            <v>20</v>
          </cell>
          <cell r="C355" t="str">
            <v xml:space="preserve">Placa con Jaladera Marca Hager. Mod 31G, Acabado acero inoxidable medidas: </v>
          </cell>
          <cell r="D355" t="str">
            <v>4" x 16"</v>
          </cell>
          <cell r="E355" t="str">
            <v>31G</v>
          </cell>
          <cell r="F355" t="str">
            <v>Hager</v>
          </cell>
          <cell r="G355" t="str">
            <v>US32D</v>
          </cell>
          <cell r="H355" t="str">
            <v>Hager</v>
          </cell>
          <cell r="I355">
            <v>14</v>
          </cell>
          <cell r="J355">
            <v>1.63</v>
          </cell>
          <cell r="K355">
            <v>22.82</v>
          </cell>
          <cell r="L355" t="e">
            <v>#N/A</v>
          </cell>
          <cell r="M355" t="e">
            <v>#N/A</v>
          </cell>
          <cell r="N355" t="e">
            <v>#N/A</v>
          </cell>
          <cell r="O355" t="e">
            <v>#N/A</v>
          </cell>
          <cell r="P355" t="str">
            <v>301-001</v>
          </cell>
        </row>
        <row r="356">
          <cell r="A356" t="e">
            <v>#N/A</v>
          </cell>
          <cell r="B356">
            <v>20</v>
          </cell>
          <cell r="C356" t="e">
            <v>#N/A</v>
          </cell>
          <cell r="D356" t="str">
            <v>4" x 16"</v>
          </cell>
          <cell r="E356" t="str">
            <v>33C</v>
          </cell>
          <cell r="F356" t="str">
            <v>Hager</v>
          </cell>
          <cell r="G356" t="str">
            <v>US26D</v>
          </cell>
          <cell r="H356" t="str">
            <v>Hager</v>
          </cell>
          <cell r="I356">
            <v>14</v>
          </cell>
          <cell r="J356">
            <v>1.63</v>
          </cell>
          <cell r="K356">
            <v>22.82</v>
          </cell>
          <cell r="L356" t="e">
            <v>#N/A</v>
          </cell>
          <cell r="M356" t="e">
            <v>#N/A</v>
          </cell>
          <cell r="N356" t="e">
            <v>#N/A</v>
          </cell>
          <cell r="O356" t="e">
            <v>#N/A</v>
          </cell>
          <cell r="P356" t="str">
            <v>301-001</v>
          </cell>
        </row>
        <row r="358">
          <cell r="A358">
            <v>268</v>
          </cell>
          <cell r="B358">
            <v>21</v>
          </cell>
          <cell r="C358" t="str">
            <v>Placa de proteccion pateo 4"  X 34"  Marca Hager. Mod. 190S. Acabado acero inoxidable</v>
          </cell>
          <cell r="E358" t="str">
            <v xml:space="preserve">190S    </v>
          </cell>
          <cell r="F358" t="str">
            <v>Hager</v>
          </cell>
          <cell r="G358" t="str">
            <v>US32D</v>
          </cell>
          <cell r="H358" t="str">
            <v>Hager</v>
          </cell>
          <cell r="I358">
            <v>4.62</v>
          </cell>
          <cell r="J358">
            <v>1.63</v>
          </cell>
          <cell r="K358">
            <v>7.5305999999999997</v>
          </cell>
          <cell r="L358" t="e">
            <v>#N/A</v>
          </cell>
          <cell r="M358" t="e">
            <v>#N/A</v>
          </cell>
          <cell r="N358" t="e">
            <v>#N/A</v>
          </cell>
          <cell r="O358" t="e">
            <v>#N/A</v>
          </cell>
          <cell r="P358" t="str">
            <v>602-001</v>
          </cell>
        </row>
        <row r="359">
          <cell r="A359" t="str">
            <v>268A</v>
          </cell>
          <cell r="B359">
            <v>21</v>
          </cell>
          <cell r="C359" t="str">
            <v>Placa de proteccion pateo 8"  X 34"  Marca Hager. Mod. 190S. Acabado acero inoxidable</v>
          </cell>
          <cell r="E359" t="str">
            <v xml:space="preserve">190S    </v>
          </cell>
          <cell r="F359" t="str">
            <v>Hager</v>
          </cell>
          <cell r="G359" t="str">
            <v>US26D</v>
          </cell>
          <cell r="H359" t="str">
            <v>Hager</v>
          </cell>
          <cell r="I359">
            <v>9.24</v>
          </cell>
          <cell r="J359">
            <v>1.63</v>
          </cell>
          <cell r="K359">
            <v>15.061199999999999</v>
          </cell>
          <cell r="L359" t="e">
            <v>#N/A</v>
          </cell>
          <cell r="M359" t="e">
            <v>#N/A</v>
          </cell>
          <cell r="N359" t="e">
            <v>#N/A</v>
          </cell>
          <cell r="O359" t="e">
            <v>#N/A</v>
          </cell>
          <cell r="P359" t="str">
            <v>602-001</v>
          </cell>
        </row>
        <row r="360">
          <cell r="A360">
            <v>269</v>
          </cell>
          <cell r="B360">
            <v>21</v>
          </cell>
          <cell r="C360" t="str">
            <v>Placa de proteccion pateo 8"  X 34"  Marca Hager. Mod. 190S. Acabado acero inoxidable</v>
          </cell>
          <cell r="E360" t="str">
            <v xml:space="preserve">190S    </v>
          </cell>
          <cell r="F360" t="str">
            <v>Hager</v>
          </cell>
          <cell r="G360" t="str">
            <v>US32D</v>
          </cell>
          <cell r="H360" t="str">
            <v>Hager</v>
          </cell>
          <cell r="I360">
            <v>9.25</v>
          </cell>
          <cell r="J360">
            <v>1.63</v>
          </cell>
          <cell r="K360">
            <v>15.077499999999999</v>
          </cell>
          <cell r="L360" t="e">
            <v>#N/A</v>
          </cell>
          <cell r="M360" t="e">
            <v>#N/A</v>
          </cell>
          <cell r="N360" t="e">
            <v>#N/A</v>
          </cell>
          <cell r="O360" t="e">
            <v>#N/A</v>
          </cell>
          <cell r="P360" t="str">
            <v>602-001</v>
          </cell>
        </row>
        <row r="361">
          <cell r="A361">
            <v>270</v>
          </cell>
          <cell r="B361">
            <v>21</v>
          </cell>
          <cell r="C361" t="str">
            <v>Placa de proteccion pateo 12"  X 34"  Marca Hager. Mod. 190S. Acabado acero inoxidable</v>
          </cell>
          <cell r="E361" t="str">
            <v xml:space="preserve">190S    </v>
          </cell>
          <cell r="F361" t="str">
            <v>Hager</v>
          </cell>
          <cell r="G361" t="str">
            <v>US32D</v>
          </cell>
          <cell r="H361" t="str">
            <v>Hager</v>
          </cell>
          <cell r="I361">
            <v>12.04</v>
          </cell>
          <cell r="J361">
            <v>1.63</v>
          </cell>
          <cell r="K361">
            <v>19.625199999999996</v>
          </cell>
          <cell r="L361" t="e">
            <v>#N/A</v>
          </cell>
          <cell r="M361" t="e">
            <v>#N/A</v>
          </cell>
          <cell r="N361" t="e">
            <v>#N/A</v>
          </cell>
          <cell r="O361" t="e">
            <v>#N/A</v>
          </cell>
          <cell r="P361" t="str">
            <v>602-002</v>
          </cell>
        </row>
        <row r="362">
          <cell r="A362">
            <v>271</v>
          </cell>
          <cell r="B362">
            <v>21</v>
          </cell>
          <cell r="C362" t="str">
            <v>Placa de proteccion pateo 24"  X 34"  Marca Hager. Mod. 190S. Acabado acero inoxidable</v>
          </cell>
          <cell r="E362" t="str">
            <v xml:space="preserve">190S    </v>
          </cell>
          <cell r="F362" t="str">
            <v>Hager</v>
          </cell>
          <cell r="G362" t="str">
            <v>US32D</v>
          </cell>
          <cell r="H362" t="str">
            <v>Hager</v>
          </cell>
          <cell r="I362">
            <v>25.7</v>
          </cell>
          <cell r="J362">
            <v>1.63</v>
          </cell>
          <cell r="K362">
            <v>41.890999999999998</v>
          </cell>
          <cell r="L362" t="e">
            <v>#N/A</v>
          </cell>
          <cell r="M362" t="e">
            <v>#N/A</v>
          </cell>
          <cell r="N362" t="e">
            <v>#N/A</v>
          </cell>
          <cell r="O362" t="e">
            <v>#N/A</v>
          </cell>
          <cell r="P362" t="str">
            <v>602-003</v>
          </cell>
        </row>
        <row r="363">
          <cell r="A363">
            <v>272</v>
          </cell>
          <cell r="B363">
            <v>21</v>
          </cell>
          <cell r="C363" t="str">
            <v>Placa de proteccion pateo 36"  X 34"  Marca Hager. Mod. 190S. Acabado acero inoxidable</v>
          </cell>
          <cell r="E363" t="str">
            <v xml:space="preserve">190S    </v>
          </cell>
          <cell r="F363" t="str">
            <v>Hager</v>
          </cell>
          <cell r="G363" t="str">
            <v>US32D</v>
          </cell>
          <cell r="H363" t="str">
            <v>Hager</v>
          </cell>
          <cell r="I363">
            <v>38.56</v>
          </cell>
          <cell r="J363">
            <v>1.63</v>
          </cell>
          <cell r="K363">
            <v>62.852800000000002</v>
          </cell>
          <cell r="L363" t="e">
            <v>#N/A</v>
          </cell>
          <cell r="M363" t="e">
            <v>#N/A</v>
          </cell>
          <cell r="N363" t="e">
            <v>#N/A</v>
          </cell>
          <cell r="O363" t="e">
            <v>#N/A</v>
          </cell>
          <cell r="P363" t="str">
            <v>602-004</v>
          </cell>
        </row>
        <row r="365">
          <cell r="A365">
            <v>273</v>
          </cell>
          <cell r="B365">
            <v>21</v>
          </cell>
          <cell r="C365" t="str">
            <v>Placa de proteccion pateo 12"  X 46"  Marca Hager. Mod. 190S. Acabado acero inoxidable</v>
          </cell>
          <cell r="E365" t="str">
            <v xml:space="preserve">190S    </v>
          </cell>
          <cell r="F365" t="str">
            <v>Hager</v>
          </cell>
          <cell r="G365" t="str">
            <v>US32D</v>
          </cell>
          <cell r="H365" t="str">
            <v>Hager</v>
          </cell>
          <cell r="I365">
            <v>16.28</v>
          </cell>
          <cell r="J365">
            <v>1.63</v>
          </cell>
          <cell r="K365">
            <v>26.5364</v>
          </cell>
          <cell r="L365" t="e">
            <v>#N/A</v>
          </cell>
          <cell r="M365" t="e">
            <v>#N/A</v>
          </cell>
          <cell r="N365" t="e">
            <v>#N/A</v>
          </cell>
          <cell r="O365" t="e">
            <v>#N/A</v>
          </cell>
          <cell r="P365" t="str">
            <v>602-002</v>
          </cell>
        </row>
        <row r="366">
          <cell r="A366">
            <v>274</v>
          </cell>
          <cell r="B366">
            <v>21</v>
          </cell>
          <cell r="C366" t="str">
            <v>Placa de proteccion pateo 24"  X 46"  Marca Hager. Mod. 190S. Acabado acero inoxidable</v>
          </cell>
          <cell r="E366" t="str">
            <v xml:space="preserve">190S    </v>
          </cell>
          <cell r="F366" t="str">
            <v>Hager</v>
          </cell>
          <cell r="G366" t="str">
            <v>US32D</v>
          </cell>
          <cell r="H366" t="str">
            <v>Hager</v>
          </cell>
          <cell r="I366">
            <v>34.78</v>
          </cell>
          <cell r="J366">
            <v>1.63</v>
          </cell>
          <cell r="K366">
            <v>56.691400000000002</v>
          </cell>
          <cell r="L366" t="e">
            <v>#N/A</v>
          </cell>
          <cell r="M366" t="e">
            <v>#N/A</v>
          </cell>
          <cell r="N366" t="e">
            <v>#N/A</v>
          </cell>
          <cell r="O366" t="e">
            <v>#N/A</v>
          </cell>
          <cell r="P366" t="str">
            <v>602-003</v>
          </cell>
        </row>
        <row r="367">
          <cell r="C367" t="str">
            <v>SELLOS PERIMETRALES</v>
          </cell>
        </row>
        <row r="368">
          <cell r="A368">
            <v>275</v>
          </cell>
          <cell r="B368">
            <v>22</v>
          </cell>
          <cell r="C368" t="str">
            <v xml:space="preserve">Sello Perimetral autoadherible marca Hager  Acabado color Blanco medidas: </v>
          </cell>
          <cell r="D368" t="str">
            <v>17'</v>
          </cell>
          <cell r="E368" t="str">
            <v>726S</v>
          </cell>
          <cell r="F368" t="str">
            <v>Hager</v>
          </cell>
          <cell r="G368" t="str">
            <v>Blanco</v>
          </cell>
          <cell r="H368" t="str">
            <v>Hager</v>
          </cell>
          <cell r="I368">
            <v>21.25</v>
          </cell>
          <cell r="J368">
            <v>0.53</v>
          </cell>
          <cell r="K368">
            <v>11.262500000000001</v>
          </cell>
          <cell r="L368" t="e">
            <v>#N/A</v>
          </cell>
          <cell r="M368" t="e">
            <v>#N/A</v>
          </cell>
          <cell r="N368" t="e">
            <v>#N/A</v>
          </cell>
          <cell r="O368" t="e">
            <v>#N/A</v>
          </cell>
          <cell r="P368" t="str">
            <v>802-003</v>
          </cell>
        </row>
        <row r="369">
          <cell r="A369">
            <v>276</v>
          </cell>
          <cell r="B369">
            <v>22</v>
          </cell>
          <cell r="C369" t="str">
            <v xml:space="preserve">Sello Perimetral autoadherible marca Hager  Acabado color blanco medidas: </v>
          </cell>
          <cell r="D369" t="str">
            <v>18'</v>
          </cell>
          <cell r="E369" t="str">
            <v>726S</v>
          </cell>
          <cell r="F369" t="str">
            <v>Hager</v>
          </cell>
          <cell r="G369" t="str">
            <v>Blanco</v>
          </cell>
          <cell r="H369" t="str">
            <v>Hager</v>
          </cell>
          <cell r="I369">
            <v>22.5</v>
          </cell>
          <cell r="J369">
            <v>0.53</v>
          </cell>
          <cell r="K369">
            <v>11.925000000000001</v>
          </cell>
          <cell r="L369" t="e">
            <v>#N/A</v>
          </cell>
          <cell r="M369" t="e">
            <v>#N/A</v>
          </cell>
          <cell r="N369" t="e">
            <v>#N/A</v>
          </cell>
          <cell r="O369" t="e">
            <v>#N/A</v>
          </cell>
          <cell r="P369" t="str">
            <v>802-004</v>
          </cell>
        </row>
        <row r="370">
          <cell r="A370">
            <v>277</v>
          </cell>
          <cell r="B370">
            <v>22</v>
          </cell>
          <cell r="C370" t="str">
            <v xml:space="preserve">Sello Perimetral autoadherible marca Hager  Acabado color blanco medidas: </v>
          </cell>
          <cell r="D370" t="str">
            <v>20'</v>
          </cell>
          <cell r="E370" t="str">
            <v>726S</v>
          </cell>
          <cell r="F370" t="str">
            <v>Hager</v>
          </cell>
          <cell r="G370" t="str">
            <v>Blanco</v>
          </cell>
          <cell r="H370" t="str">
            <v>Hager</v>
          </cell>
          <cell r="I370">
            <v>25</v>
          </cell>
          <cell r="J370">
            <v>0.53</v>
          </cell>
          <cell r="K370">
            <v>13.25</v>
          </cell>
          <cell r="L370" t="e">
            <v>#N/A</v>
          </cell>
          <cell r="M370" t="e">
            <v>#N/A</v>
          </cell>
          <cell r="N370" t="e">
            <v>#N/A</v>
          </cell>
          <cell r="O370" t="e">
            <v>#N/A</v>
          </cell>
          <cell r="P370" t="str">
            <v>802-005</v>
          </cell>
        </row>
        <row r="372">
          <cell r="A372">
            <v>278</v>
          </cell>
          <cell r="B372">
            <v>22</v>
          </cell>
          <cell r="C372" t="str">
            <v xml:space="preserve">Sello Perimetral autoadherible marca Pemko  Acabado color blanco medidas: </v>
          </cell>
          <cell r="D372" t="str">
            <v>17'</v>
          </cell>
          <cell r="E372" t="str">
            <v>PK55W17</v>
          </cell>
          <cell r="F372" t="str">
            <v>Pemko</v>
          </cell>
          <cell r="G372" t="str">
            <v>Blanco</v>
          </cell>
          <cell r="H372" t="str">
            <v>Pemko</v>
          </cell>
          <cell r="I372">
            <v>15.2</v>
          </cell>
          <cell r="J372">
            <v>0.63</v>
          </cell>
          <cell r="K372">
            <v>9.5759999999999987</v>
          </cell>
          <cell r="L372" t="e">
            <v>#N/A</v>
          </cell>
          <cell r="M372" t="e">
            <v>#N/A</v>
          </cell>
          <cell r="N372" t="e">
            <v>#N/A</v>
          </cell>
          <cell r="O372" t="e">
            <v>#N/A</v>
          </cell>
          <cell r="P372" t="str">
            <v>802-003</v>
          </cell>
        </row>
        <row r="373">
          <cell r="A373">
            <v>279</v>
          </cell>
          <cell r="B373">
            <v>22</v>
          </cell>
          <cell r="C373" t="str">
            <v xml:space="preserve">Sello Perimetral autoadherible marca Pemko  Acabado color blanco medidas: </v>
          </cell>
          <cell r="D373" t="str">
            <v>18'</v>
          </cell>
          <cell r="E373" t="str">
            <v>PK55W18</v>
          </cell>
          <cell r="F373" t="str">
            <v>Pemko</v>
          </cell>
          <cell r="G373" t="str">
            <v>Blanco</v>
          </cell>
          <cell r="H373" t="str">
            <v>Pemko</v>
          </cell>
          <cell r="I373">
            <v>16.09</v>
          </cell>
          <cell r="J373">
            <v>0.63</v>
          </cell>
          <cell r="K373">
            <v>10.136699999999999</v>
          </cell>
          <cell r="L373" t="e">
            <v>#N/A</v>
          </cell>
          <cell r="M373" t="e">
            <v>#N/A</v>
          </cell>
          <cell r="N373" t="e">
            <v>#N/A</v>
          </cell>
          <cell r="O373" t="e">
            <v>#N/A</v>
          </cell>
          <cell r="P373" t="str">
            <v>802-004</v>
          </cell>
        </row>
        <row r="374">
          <cell r="A374">
            <v>280</v>
          </cell>
          <cell r="B374">
            <v>22</v>
          </cell>
          <cell r="C374" t="str">
            <v xml:space="preserve">Sello Perimetral autoadherible marca Pemko  Acabado color blanco medidas: </v>
          </cell>
          <cell r="D374" t="str">
            <v>20'</v>
          </cell>
          <cell r="E374" t="str">
            <v>PK55W20</v>
          </cell>
          <cell r="F374" t="str">
            <v>Pemko</v>
          </cell>
          <cell r="G374" t="str">
            <v>Blanco</v>
          </cell>
          <cell r="H374" t="str">
            <v>Pemko</v>
          </cell>
          <cell r="I374">
            <v>17.89</v>
          </cell>
          <cell r="J374">
            <v>0.63</v>
          </cell>
          <cell r="K374">
            <v>11.2707</v>
          </cell>
          <cell r="L374" t="e">
            <v>#N/A</v>
          </cell>
          <cell r="M374" t="e">
            <v>#N/A</v>
          </cell>
          <cell r="N374" t="e">
            <v>#N/A</v>
          </cell>
          <cell r="O374" t="e">
            <v>#N/A</v>
          </cell>
          <cell r="P374" t="str">
            <v>802-005</v>
          </cell>
        </row>
        <row r="375">
          <cell r="C375" t="str">
            <v>SELLOS USO RUDO</v>
          </cell>
        </row>
        <row r="376">
          <cell r="A376">
            <v>281</v>
          </cell>
          <cell r="B376">
            <v>23</v>
          </cell>
          <cell r="C376" t="str">
            <v xml:space="preserve">Sello Perimetral Uso Rudo con Alumino y Vinilo Marca Hager, medidas: </v>
          </cell>
          <cell r="D376" t="str">
            <v>17'</v>
          </cell>
          <cell r="E376" t="str">
            <v>891SAV-17</v>
          </cell>
          <cell r="F376" t="str">
            <v>Hager</v>
          </cell>
          <cell r="G376" t="str">
            <v>Alum-Vinil</v>
          </cell>
          <cell r="H376" t="str">
            <v>Hager</v>
          </cell>
          <cell r="I376">
            <v>19.55</v>
          </cell>
          <cell r="J376">
            <v>0.53</v>
          </cell>
          <cell r="K376">
            <v>10.361500000000001</v>
          </cell>
          <cell r="L376" t="e">
            <v>#N/A</v>
          </cell>
          <cell r="M376" t="e">
            <v>#N/A</v>
          </cell>
          <cell r="N376" t="e">
            <v>#N/A</v>
          </cell>
          <cell r="O376" t="e">
            <v>#N/A</v>
          </cell>
          <cell r="P376" t="str">
            <v>802-001</v>
          </cell>
        </row>
        <row r="377">
          <cell r="A377">
            <v>282</v>
          </cell>
          <cell r="B377">
            <v>23</v>
          </cell>
          <cell r="C377" t="str">
            <v xml:space="preserve">Sello Perimetral Uso Rudo con Alumino y Vinilo Marca Hager, medidas: </v>
          </cell>
          <cell r="D377" t="str">
            <v>18'</v>
          </cell>
          <cell r="E377" t="str">
            <v>891SAV-18</v>
          </cell>
          <cell r="F377" t="str">
            <v>Hager</v>
          </cell>
          <cell r="G377" t="str">
            <v>Alum-Vinil</v>
          </cell>
          <cell r="H377" t="str">
            <v>Hager</v>
          </cell>
          <cell r="I377">
            <v>20.7</v>
          </cell>
          <cell r="J377">
            <v>0.53</v>
          </cell>
          <cell r="K377">
            <v>10.971</v>
          </cell>
          <cell r="L377" t="e">
            <v>#N/A</v>
          </cell>
          <cell r="M377" t="e">
            <v>#N/A</v>
          </cell>
          <cell r="N377" t="e">
            <v>#N/A</v>
          </cell>
          <cell r="O377" t="e">
            <v>#N/A</v>
          </cell>
          <cell r="P377" t="str">
            <v>802-002</v>
          </cell>
        </row>
        <row r="378">
          <cell r="A378">
            <v>283</v>
          </cell>
          <cell r="B378">
            <v>23</v>
          </cell>
          <cell r="C378" t="str">
            <v xml:space="preserve">Sello Perimetral Uso Rudo con Alumino y Vinilo Marca Hager, medidas: </v>
          </cell>
          <cell r="D378" t="str">
            <v>20'</v>
          </cell>
          <cell r="E378" t="str">
            <v>891SAV-20</v>
          </cell>
          <cell r="F378" t="str">
            <v>Hager</v>
          </cell>
          <cell r="G378" t="str">
            <v>Alum-Vinil</v>
          </cell>
          <cell r="H378" t="str">
            <v>Hager</v>
          </cell>
          <cell r="I378">
            <v>23</v>
          </cell>
          <cell r="J378">
            <v>0.53</v>
          </cell>
          <cell r="K378">
            <v>12.190000000000001</v>
          </cell>
          <cell r="L378" t="e">
            <v>#N/A</v>
          </cell>
          <cell r="M378" t="e">
            <v>#N/A</v>
          </cell>
          <cell r="N378" t="e">
            <v>#N/A</v>
          </cell>
          <cell r="O378" t="e">
            <v>#N/A</v>
          </cell>
          <cell r="P378" t="str">
            <v>802-003</v>
          </cell>
        </row>
        <row r="380">
          <cell r="A380">
            <v>284</v>
          </cell>
          <cell r="B380">
            <v>23</v>
          </cell>
          <cell r="C380" t="str">
            <v xml:space="preserve">Sello Perimetral Uso Rudo con Alumino y Vinilo Marca Pemko, medidas: </v>
          </cell>
          <cell r="D380" t="str">
            <v>17'</v>
          </cell>
          <cell r="E380" t="str">
            <v>303AV3684</v>
          </cell>
          <cell r="F380" t="str">
            <v>Pemko</v>
          </cell>
          <cell r="G380" t="str">
            <v>Alum-Vinil</v>
          </cell>
          <cell r="H380" t="str">
            <v>Pemko</v>
          </cell>
          <cell r="I380">
            <v>17.170000000000002</v>
          </cell>
          <cell r="J380">
            <v>0.63</v>
          </cell>
          <cell r="K380">
            <v>10.817100000000002</v>
          </cell>
          <cell r="L380" t="e">
            <v>#N/A</v>
          </cell>
          <cell r="M380" t="e">
            <v>#N/A</v>
          </cell>
          <cell r="N380" t="e">
            <v>#N/A</v>
          </cell>
          <cell r="O380" t="e">
            <v>#N/A</v>
          </cell>
          <cell r="P380" t="str">
            <v>802-001</v>
          </cell>
        </row>
        <row r="381">
          <cell r="A381">
            <v>285</v>
          </cell>
          <cell r="B381">
            <v>23</v>
          </cell>
          <cell r="C381" t="str">
            <v xml:space="preserve">Sello Perimetral Uso Rudo con Alumino y Vinilo Marca Pemko, medidas: </v>
          </cell>
          <cell r="D381" t="str">
            <v>18'</v>
          </cell>
          <cell r="E381" t="str">
            <v>303AV4884</v>
          </cell>
          <cell r="F381" t="str">
            <v>Pemko</v>
          </cell>
          <cell r="G381" t="str">
            <v>Alum-Vinil</v>
          </cell>
          <cell r="H381" t="str">
            <v>Pemko</v>
          </cell>
          <cell r="I381">
            <v>18.18</v>
          </cell>
          <cell r="J381">
            <v>0.63</v>
          </cell>
          <cell r="K381">
            <v>11.4534</v>
          </cell>
          <cell r="L381" t="e">
            <v>#N/A</v>
          </cell>
          <cell r="M381" t="e">
            <v>#N/A</v>
          </cell>
          <cell r="N381" t="e">
            <v>#N/A</v>
          </cell>
          <cell r="O381" t="e">
            <v>#N/A</v>
          </cell>
          <cell r="P381" t="str">
            <v>802-002</v>
          </cell>
        </row>
        <row r="382">
          <cell r="A382">
            <v>286</v>
          </cell>
          <cell r="B382">
            <v>23</v>
          </cell>
          <cell r="C382" t="str">
            <v xml:space="preserve">Sello Perimetral Uso Rudo con Alumino y Vinilo Marca Pemko, medidas: </v>
          </cell>
          <cell r="D382" t="str">
            <v>20'</v>
          </cell>
          <cell r="E382" t="str">
            <v>303AV7284</v>
          </cell>
          <cell r="F382" t="str">
            <v>Pemko</v>
          </cell>
          <cell r="G382" t="str">
            <v>Alum-Vinil</v>
          </cell>
          <cell r="H382" t="str">
            <v>Pemko</v>
          </cell>
          <cell r="I382">
            <v>20.2</v>
          </cell>
          <cell r="J382">
            <v>0.63</v>
          </cell>
          <cell r="K382">
            <v>12.725999999999999</v>
          </cell>
          <cell r="L382" t="e">
            <v>#N/A</v>
          </cell>
          <cell r="M382" t="e">
            <v>#N/A</v>
          </cell>
          <cell r="N382" t="e">
            <v>#N/A</v>
          </cell>
          <cell r="O382" t="e">
            <v>#N/A</v>
          </cell>
          <cell r="P382" t="str">
            <v>802-003</v>
          </cell>
        </row>
        <row r="383">
          <cell r="C383" t="str">
            <v>SELLOS BAJO PUERTA</v>
          </cell>
        </row>
        <row r="384">
          <cell r="A384">
            <v>287</v>
          </cell>
          <cell r="B384">
            <v>24</v>
          </cell>
          <cell r="C384" t="str">
            <v xml:space="preserve">Sello Sello bajo Puerta de Alumino y Vinilo Marca Hager, medidas: </v>
          </cell>
          <cell r="D384" t="str">
            <v>36"</v>
          </cell>
          <cell r="E384" t="str">
            <v>779SAV-36</v>
          </cell>
          <cell r="F384" t="str">
            <v>Hager</v>
          </cell>
          <cell r="G384" t="str">
            <v>Alum-Vinil</v>
          </cell>
          <cell r="H384" t="str">
            <v>Hager</v>
          </cell>
          <cell r="I384">
            <v>11.73</v>
          </cell>
          <cell r="J384">
            <v>0.53</v>
          </cell>
          <cell r="K384">
            <v>6.2169000000000008</v>
          </cell>
          <cell r="L384" t="e">
            <v>#N/A</v>
          </cell>
          <cell r="M384" t="e">
            <v>#N/A</v>
          </cell>
          <cell r="N384" t="e">
            <v>#N/A</v>
          </cell>
          <cell r="O384" t="e">
            <v>#N/A</v>
          </cell>
          <cell r="P384" t="str">
            <v>802-001</v>
          </cell>
        </row>
        <row r="385">
          <cell r="A385" t="str">
            <v>287a</v>
          </cell>
          <cell r="B385">
            <v>24</v>
          </cell>
          <cell r="C385" t="str">
            <v xml:space="preserve">Sello Sello bajo Puerta de Alumino y Vinilo Marca Hager, medidas: </v>
          </cell>
          <cell r="D385" t="str">
            <v>40"</v>
          </cell>
          <cell r="E385" t="str">
            <v>779SAV-40</v>
          </cell>
          <cell r="F385" t="str">
            <v>Hager</v>
          </cell>
          <cell r="G385" t="str">
            <v>Alum-Vinil</v>
          </cell>
          <cell r="H385" t="str">
            <v>Hager</v>
          </cell>
          <cell r="I385">
            <v>11.73</v>
          </cell>
          <cell r="J385">
            <v>0.53</v>
          </cell>
          <cell r="K385">
            <v>6.2169000000000008</v>
          </cell>
          <cell r="L385" t="e">
            <v>#N/A</v>
          </cell>
          <cell r="M385" t="e">
            <v>#N/A</v>
          </cell>
          <cell r="N385" t="e">
            <v>#N/A</v>
          </cell>
          <cell r="O385" t="e">
            <v>#N/A</v>
          </cell>
          <cell r="P385" t="str">
            <v>802-001</v>
          </cell>
        </row>
        <row r="386">
          <cell r="A386">
            <v>288</v>
          </cell>
          <cell r="B386">
            <v>24</v>
          </cell>
          <cell r="C386" t="str">
            <v xml:space="preserve">Sello Sello bajo Puerta de Alumino y Vinilo Marca Hager, medidas: </v>
          </cell>
          <cell r="D386" t="str">
            <v>48"</v>
          </cell>
          <cell r="E386" t="str">
            <v>779SAV-48</v>
          </cell>
          <cell r="F386" t="str">
            <v>Hager</v>
          </cell>
          <cell r="G386" t="str">
            <v>Alum-Vinil</v>
          </cell>
          <cell r="H386" t="str">
            <v>Hager</v>
          </cell>
          <cell r="I386">
            <v>15.64</v>
          </cell>
          <cell r="J386">
            <v>0.53</v>
          </cell>
          <cell r="K386">
            <v>8.289200000000001</v>
          </cell>
          <cell r="L386" t="e">
            <v>#N/A</v>
          </cell>
          <cell r="M386" t="e">
            <v>#N/A</v>
          </cell>
          <cell r="N386" t="e">
            <v>#N/A</v>
          </cell>
          <cell r="O386" t="e">
            <v>#N/A</v>
          </cell>
          <cell r="P386" t="str">
            <v>802-002</v>
          </cell>
        </row>
        <row r="387">
          <cell r="A387">
            <v>289</v>
          </cell>
          <cell r="B387">
            <v>24</v>
          </cell>
          <cell r="C387" t="str">
            <v xml:space="preserve">Sello Sello bajo Puerta con Goteron de Alumino y Vinilo Marca Hager, medidas: </v>
          </cell>
          <cell r="D387" t="str">
            <v>36"</v>
          </cell>
          <cell r="E387" t="str">
            <v>783SAV-36</v>
          </cell>
          <cell r="F387" t="str">
            <v>Hager</v>
          </cell>
          <cell r="G387" t="str">
            <v>Alum-Vinil</v>
          </cell>
          <cell r="H387" t="str">
            <v>Hager</v>
          </cell>
          <cell r="I387">
            <v>11.85</v>
          </cell>
          <cell r="J387">
            <v>0.53</v>
          </cell>
          <cell r="K387">
            <v>6.2805</v>
          </cell>
          <cell r="L387" t="e">
            <v>#N/A</v>
          </cell>
          <cell r="M387" t="e">
            <v>#N/A</v>
          </cell>
          <cell r="N387" t="e">
            <v>#N/A</v>
          </cell>
          <cell r="O387" t="e">
            <v>#N/A</v>
          </cell>
          <cell r="P387" t="str">
            <v>802-001</v>
          </cell>
        </row>
        <row r="388">
          <cell r="A388">
            <v>290</v>
          </cell>
          <cell r="B388">
            <v>24</v>
          </cell>
          <cell r="C388" t="str">
            <v xml:space="preserve">Sello Sello bajo Puerta con Goteron de Alumino y Vinilo Marca Hager, medidas: </v>
          </cell>
          <cell r="D388" t="str">
            <v>48"</v>
          </cell>
          <cell r="E388" t="str">
            <v>783SAV-48</v>
          </cell>
          <cell r="F388" t="str">
            <v>Hager</v>
          </cell>
          <cell r="G388" t="str">
            <v>Alum-Vinil</v>
          </cell>
          <cell r="H388" t="str">
            <v>Hager</v>
          </cell>
          <cell r="I388">
            <v>15.8</v>
          </cell>
          <cell r="J388">
            <v>0.53</v>
          </cell>
          <cell r="K388">
            <v>8.3740000000000006</v>
          </cell>
          <cell r="L388" t="e">
            <v>#N/A</v>
          </cell>
          <cell r="M388" t="e">
            <v>#N/A</v>
          </cell>
          <cell r="N388" t="e">
            <v>#N/A</v>
          </cell>
          <cell r="O388" t="e">
            <v>#N/A</v>
          </cell>
          <cell r="P388" t="str">
            <v>802-002</v>
          </cell>
        </row>
        <row r="390">
          <cell r="A390">
            <v>291</v>
          </cell>
          <cell r="B390">
            <v>24</v>
          </cell>
          <cell r="C390" t="str">
            <v xml:space="preserve">Sello Sello bajo Puerta de Alumino y Vinilo Marca Pemko, medidas: </v>
          </cell>
          <cell r="D390" t="str">
            <v>36"</v>
          </cell>
          <cell r="E390" t="str">
            <v>217AV-36</v>
          </cell>
          <cell r="F390" t="str">
            <v>Pemko</v>
          </cell>
          <cell r="G390" t="str">
            <v>Alum-Vinil</v>
          </cell>
          <cell r="H390" t="str">
            <v>Pemko</v>
          </cell>
          <cell r="I390">
            <v>7.89</v>
          </cell>
          <cell r="J390">
            <v>0.63</v>
          </cell>
          <cell r="K390">
            <v>4.9706999999999999</v>
          </cell>
          <cell r="L390" t="e">
            <v>#N/A</v>
          </cell>
          <cell r="M390" t="e">
            <v>#N/A</v>
          </cell>
          <cell r="N390" t="e">
            <v>#N/A</v>
          </cell>
          <cell r="O390" t="e">
            <v>#N/A</v>
          </cell>
          <cell r="P390" t="str">
            <v>802-001</v>
          </cell>
        </row>
        <row r="391">
          <cell r="A391">
            <v>292</v>
          </cell>
          <cell r="B391">
            <v>24</v>
          </cell>
          <cell r="C391" t="str">
            <v xml:space="preserve">Sello Sello bajo Puerta de Alumino y Vinilo Marca Pemko, medidas: </v>
          </cell>
          <cell r="D391" t="str">
            <v>48"</v>
          </cell>
          <cell r="E391" t="str">
            <v>217AV-48</v>
          </cell>
          <cell r="F391" t="str">
            <v>Pemko</v>
          </cell>
          <cell r="G391" t="str">
            <v>Alum-Vinil</v>
          </cell>
          <cell r="H391" t="str">
            <v>Pemko</v>
          </cell>
          <cell r="I391">
            <v>10.52</v>
          </cell>
          <cell r="J391">
            <v>0.63</v>
          </cell>
          <cell r="K391">
            <v>6.6276000000000002</v>
          </cell>
          <cell r="L391" t="e">
            <v>#N/A</v>
          </cell>
          <cell r="M391" t="e">
            <v>#N/A</v>
          </cell>
          <cell r="N391" t="e">
            <v>#N/A</v>
          </cell>
          <cell r="O391" t="e">
            <v>#N/A</v>
          </cell>
          <cell r="P391" t="str">
            <v>802-002</v>
          </cell>
        </row>
        <row r="392">
          <cell r="A392">
            <v>293</v>
          </cell>
          <cell r="B392">
            <v>24</v>
          </cell>
          <cell r="C392" t="str">
            <v xml:space="preserve">Sello Sello bajo Puerta con Goteron de Alumino y Vinilo Marca Pemko, medidas: </v>
          </cell>
          <cell r="D392" t="str">
            <v>36"</v>
          </cell>
          <cell r="E392" t="str">
            <v>216AV-36</v>
          </cell>
          <cell r="F392" t="str">
            <v>Pemko</v>
          </cell>
          <cell r="G392" t="str">
            <v>Alum-Vinil</v>
          </cell>
          <cell r="H392" t="str">
            <v>Pemko</v>
          </cell>
          <cell r="I392">
            <v>7.53</v>
          </cell>
          <cell r="J392">
            <v>0.63</v>
          </cell>
          <cell r="K392">
            <v>4.7439</v>
          </cell>
          <cell r="L392" t="e">
            <v>#N/A</v>
          </cell>
          <cell r="M392" t="e">
            <v>#N/A</v>
          </cell>
          <cell r="N392" t="e">
            <v>#N/A</v>
          </cell>
          <cell r="O392" t="e">
            <v>#N/A</v>
          </cell>
          <cell r="P392" t="str">
            <v>802-001</v>
          </cell>
        </row>
        <row r="393">
          <cell r="A393">
            <v>294</v>
          </cell>
          <cell r="B393">
            <v>24</v>
          </cell>
          <cell r="C393" t="str">
            <v xml:space="preserve">Sello Sello bajo Puerta con Goteron de Alumino y Vinilo Marca Pemko, medidas: </v>
          </cell>
          <cell r="D393" t="str">
            <v>48"</v>
          </cell>
          <cell r="E393" t="str">
            <v>216AV-48</v>
          </cell>
          <cell r="F393" t="str">
            <v>Pemko</v>
          </cell>
          <cell r="G393" t="str">
            <v>Alum-Vinil</v>
          </cell>
          <cell r="H393" t="str">
            <v>Pemko</v>
          </cell>
          <cell r="I393">
            <v>10.039999999999999</v>
          </cell>
          <cell r="J393">
            <v>0.63</v>
          </cell>
          <cell r="K393">
            <v>6.3251999999999997</v>
          </cell>
          <cell r="L393" t="e">
            <v>#N/A</v>
          </cell>
          <cell r="M393" t="e">
            <v>#N/A</v>
          </cell>
          <cell r="N393" t="e">
            <v>#N/A</v>
          </cell>
          <cell r="O393" t="e">
            <v>#N/A</v>
          </cell>
          <cell r="P393" t="str">
            <v>802-002</v>
          </cell>
        </row>
        <row r="394">
          <cell r="C394" t="str">
            <v>SARDINELES HAGER</v>
          </cell>
        </row>
        <row r="395">
          <cell r="A395">
            <v>295</v>
          </cell>
          <cell r="B395">
            <v>25</v>
          </cell>
          <cell r="C395" t="str">
            <v xml:space="preserve">Sardinel de 4" de ancho Marca Hager acabado Aluminio Natural Largo:  </v>
          </cell>
          <cell r="D395" t="str">
            <v>3'</v>
          </cell>
          <cell r="E395" t="str">
            <v>403S</v>
          </cell>
          <cell r="F395" t="str">
            <v>Hager</v>
          </cell>
          <cell r="G395" t="str">
            <v>Aluminio</v>
          </cell>
          <cell r="H395" t="str">
            <v>Hager</v>
          </cell>
          <cell r="I395">
            <v>14.91</v>
          </cell>
          <cell r="J395">
            <v>0.53</v>
          </cell>
          <cell r="K395">
            <v>7.9023000000000003</v>
          </cell>
          <cell r="L395" t="e">
            <v>#N/A</v>
          </cell>
          <cell r="M395" t="e">
            <v>#N/A</v>
          </cell>
          <cell r="N395" t="e">
            <v>#N/A</v>
          </cell>
          <cell r="O395" t="e">
            <v>#N/A</v>
          </cell>
          <cell r="P395" t="str">
            <v>801-074</v>
          </cell>
        </row>
        <row r="396">
          <cell r="A396">
            <v>296</v>
          </cell>
          <cell r="B396">
            <v>25</v>
          </cell>
          <cell r="C396" t="str">
            <v xml:space="preserve">Sardinel de 4" de ancho Marca Hager acabado Aluminio Natural Largo:  </v>
          </cell>
          <cell r="D396" t="str">
            <v>4'</v>
          </cell>
          <cell r="E396" t="str">
            <v>403S</v>
          </cell>
          <cell r="F396" t="str">
            <v>Hager</v>
          </cell>
          <cell r="G396" t="str">
            <v>Aluminio</v>
          </cell>
          <cell r="H396" t="str">
            <v>Hager</v>
          </cell>
          <cell r="I396">
            <v>19.88</v>
          </cell>
          <cell r="J396">
            <v>0.53</v>
          </cell>
          <cell r="K396">
            <v>10.5364</v>
          </cell>
          <cell r="L396" t="e">
            <v>#N/A</v>
          </cell>
          <cell r="M396" t="e">
            <v>#N/A</v>
          </cell>
          <cell r="N396" t="e">
            <v>#N/A</v>
          </cell>
          <cell r="O396" t="e">
            <v>#N/A</v>
          </cell>
          <cell r="P396" t="str">
            <v>801-075</v>
          </cell>
        </row>
        <row r="397">
          <cell r="A397">
            <v>297</v>
          </cell>
          <cell r="B397">
            <v>25</v>
          </cell>
          <cell r="C397" t="str">
            <v xml:space="preserve">Sardinel de 4" de ancho Marca Hager acabado Aluminio Natural Largo:  </v>
          </cell>
          <cell r="D397" t="str">
            <v>6'</v>
          </cell>
          <cell r="E397" t="str">
            <v>403S</v>
          </cell>
          <cell r="F397" t="str">
            <v>Hager</v>
          </cell>
          <cell r="G397" t="str">
            <v>Aluminio</v>
          </cell>
          <cell r="H397" t="str">
            <v>Hager</v>
          </cell>
          <cell r="I397">
            <v>29.82</v>
          </cell>
          <cell r="J397">
            <v>0.53</v>
          </cell>
          <cell r="K397">
            <v>15.804600000000001</v>
          </cell>
          <cell r="L397" t="e">
            <v>#N/A</v>
          </cell>
          <cell r="M397" t="e">
            <v>#N/A</v>
          </cell>
          <cell r="N397" t="e">
            <v>#N/A</v>
          </cell>
          <cell r="O397" t="e">
            <v>#N/A</v>
          </cell>
          <cell r="P397" t="str">
            <v>801-076</v>
          </cell>
        </row>
        <row r="398">
          <cell r="A398">
            <v>298</v>
          </cell>
          <cell r="B398">
            <v>25</v>
          </cell>
          <cell r="C398" t="str">
            <v xml:space="preserve">Sardinel de 4" de ancho Marca Hager acabado Aluminio Natural Largo:  </v>
          </cell>
          <cell r="D398" t="str">
            <v>8'</v>
          </cell>
          <cell r="E398" t="str">
            <v>403S</v>
          </cell>
          <cell r="F398" t="str">
            <v>Hager</v>
          </cell>
          <cell r="G398" t="str">
            <v>Aluminio</v>
          </cell>
          <cell r="H398" t="str">
            <v>Hager</v>
          </cell>
          <cell r="I398">
            <v>39.76</v>
          </cell>
          <cell r="J398">
            <v>0.53</v>
          </cell>
          <cell r="K398">
            <v>21.072800000000001</v>
          </cell>
          <cell r="L398" t="e">
            <v>#N/A</v>
          </cell>
          <cell r="M398" t="e">
            <v>#N/A</v>
          </cell>
          <cell r="N398" t="e">
            <v>#N/A</v>
          </cell>
          <cell r="O398" t="e">
            <v>#N/A</v>
          </cell>
          <cell r="P398" t="str">
            <v>801-077</v>
          </cell>
        </row>
        <row r="399">
          <cell r="A399" t="str">
            <v>298-A</v>
          </cell>
          <cell r="B399">
            <v>25</v>
          </cell>
          <cell r="C399" t="str">
            <v xml:space="preserve">Sardinel de 5" de ancho Marca Hager acabado Aluminio Natural Largo:  </v>
          </cell>
          <cell r="D399" t="str">
            <v>6'</v>
          </cell>
          <cell r="E399" t="str">
            <v>412S</v>
          </cell>
          <cell r="F399" t="str">
            <v>Hager</v>
          </cell>
          <cell r="G399" t="str">
            <v>Aluminio</v>
          </cell>
          <cell r="H399" t="str">
            <v>Hager</v>
          </cell>
          <cell r="I399">
            <v>46.5</v>
          </cell>
          <cell r="J399">
            <v>0.53</v>
          </cell>
          <cell r="K399">
            <v>24.645</v>
          </cell>
          <cell r="L399" t="e">
            <v>#N/A</v>
          </cell>
          <cell r="M399" t="e">
            <v>#N/A</v>
          </cell>
          <cell r="N399" t="e">
            <v>#N/A</v>
          </cell>
          <cell r="O399" t="e">
            <v>#N/A</v>
          </cell>
          <cell r="P399" t="str">
            <v>801-077</v>
          </cell>
        </row>
        <row r="401">
          <cell r="A401">
            <v>299</v>
          </cell>
          <cell r="B401">
            <v>25</v>
          </cell>
          <cell r="C401" t="str">
            <v xml:space="preserve">Sardinel de 1-13/16" de ancho Marca Hager acabado Aluminio Natural Largo:  </v>
          </cell>
          <cell r="D401" t="str">
            <v>3'</v>
          </cell>
          <cell r="E401" t="str">
            <v>505SA</v>
          </cell>
          <cell r="F401" t="str">
            <v>Hager</v>
          </cell>
          <cell r="G401" t="str">
            <v>Aluminio</v>
          </cell>
          <cell r="H401" t="str">
            <v>Hager</v>
          </cell>
          <cell r="I401">
            <v>9.75</v>
          </cell>
          <cell r="J401">
            <v>0.53</v>
          </cell>
          <cell r="K401">
            <v>5.1675000000000004</v>
          </cell>
          <cell r="L401" t="e">
            <v>#N/A</v>
          </cell>
          <cell r="M401" t="e">
            <v>#N/A</v>
          </cell>
          <cell r="N401" t="e">
            <v>#N/A</v>
          </cell>
          <cell r="O401" t="e">
            <v>#N/A</v>
          </cell>
          <cell r="P401" t="str">
            <v>801-074</v>
          </cell>
        </row>
        <row r="402">
          <cell r="A402">
            <v>300</v>
          </cell>
          <cell r="B402">
            <v>25</v>
          </cell>
          <cell r="C402" t="str">
            <v xml:space="preserve">Sardinel de 3" de ancho Liso Marca Hager acabado Aluminio Natural Largo:  </v>
          </cell>
          <cell r="D402" t="str">
            <v>4'</v>
          </cell>
          <cell r="E402" t="str">
            <v>418SA</v>
          </cell>
          <cell r="F402" t="str">
            <v>Hager</v>
          </cell>
          <cell r="G402" t="str">
            <v>Aluminio</v>
          </cell>
          <cell r="H402" t="str">
            <v>Hager</v>
          </cell>
          <cell r="I402">
            <v>18.64</v>
          </cell>
          <cell r="J402">
            <v>0.53</v>
          </cell>
          <cell r="K402">
            <v>9.8792000000000009</v>
          </cell>
          <cell r="L402" t="e">
            <v>#N/A</v>
          </cell>
          <cell r="M402" t="e">
            <v>#N/A</v>
          </cell>
          <cell r="N402" t="e">
            <v>#N/A</v>
          </cell>
          <cell r="O402" t="e">
            <v>#N/A</v>
          </cell>
          <cell r="P402" t="str">
            <v>801-075</v>
          </cell>
        </row>
        <row r="403">
          <cell r="A403" t="str">
            <v>300-A</v>
          </cell>
          <cell r="B403">
            <v>25</v>
          </cell>
          <cell r="C403" t="str">
            <v xml:space="preserve">Sardinel de 3" de ancho Liso Marca Hager acabado Aluminio Natural Largo:  </v>
          </cell>
          <cell r="D403" t="str">
            <v>6'</v>
          </cell>
          <cell r="E403" t="str">
            <v>418SA</v>
          </cell>
          <cell r="F403" t="str">
            <v>Hager</v>
          </cell>
          <cell r="G403" t="str">
            <v>Aluminio</v>
          </cell>
          <cell r="H403" t="str">
            <v>Hager</v>
          </cell>
          <cell r="I403">
            <v>27.96</v>
          </cell>
          <cell r="J403">
            <v>0.53</v>
          </cell>
          <cell r="K403">
            <v>14.818800000000001</v>
          </cell>
          <cell r="L403" t="e">
            <v>#N/A</v>
          </cell>
          <cell r="M403" t="e">
            <v>#N/A</v>
          </cell>
          <cell r="N403" t="e">
            <v>#N/A</v>
          </cell>
          <cell r="O403" t="e">
            <v>#N/A</v>
          </cell>
          <cell r="P403" t="str">
            <v>801-074</v>
          </cell>
        </row>
        <row r="405">
          <cell r="A405">
            <v>301</v>
          </cell>
          <cell r="B405">
            <v>25</v>
          </cell>
          <cell r="C405" t="str">
            <v xml:space="preserve">Sardinel de 1-13/16" de ancho Marca Hager acabado Aluminio Natural Largo:  </v>
          </cell>
          <cell r="D405" t="str">
            <v>3'</v>
          </cell>
          <cell r="E405" t="str">
            <v>505SAV</v>
          </cell>
          <cell r="F405" t="str">
            <v>Hager</v>
          </cell>
          <cell r="G405" t="str">
            <v>Aluminio</v>
          </cell>
          <cell r="H405" t="str">
            <v>Hager</v>
          </cell>
          <cell r="I405">
            <v>9.75</v>
          </cell>
          <cell r="J405">
            <v>0.53</v>
          </cell>
          <cell r="K405">
            <v>5.1675000000000004</v>
          </cell>
          <cell r="L405" t="e">
            <v>#N/A</v>
          </cell>
          <cell r="M405" t="e">
            <v>#N/A</v>
          </cell>
          <cell r="N405" t="e">
            <v>#N/A</v>
          </cell>
          <cell r="O405" t="e">
            <v>#N/A</v>
          </cell>
          <cell r="P405" t="str">
            <v>801-074</v>
          </cell>
        </row>
        <row r="406">
          <cell r="A406" t="str">
            <v>301a</v>
          </cell>
          <cell r="B406">
            <v>25</v>
          </cell>
          <cell r="C406" t="str">
            <v xml:space="preserve">Sardinel de 1-13/16" de ancho Marca Hager acabado Aluminio Natural Largo:  </v>
          </cell>
          <cell r="D406" t="str">
            <v>3'4"</v>
          </cell>
          <cell r="E406" t="str">
            <v>505SAV</v>
          </cell>
          <cell r="F406" t="str">
            <v>Hager</v>
          </cell>
          <cell r="G406" t="str">
            <v>Aluminio</v>
          </cell>
          <cell r="H406" t="str">
            <v>Hager</v>
          </cell>
          <cell r="I406">
            <v>9.75</v>
          </cell>
          <cell r="J406">
            <v>0.53</v>
          </cell>
          <cell r="K406">
            <v>5.1675000000000004</v>
          </cell>
          <cell r="L406" t="e">
            <v>#N/A</v>
          </cell>
          <cell r="M406" t="e">
            <v>#N/A</v>
          </cell>
          <cell r="N406" t="e">
            <v>#N/A</v>
          </cell>
          <cell r="O406" t="e">
            <v>#N/A</v>
          </cell>
          <cell r="P406" t="str">
            <v>801-074</v>
          </cell>
        </row>
        <row r="407">
          <cell r="A407" t="str">
            <v>301b</v>
          </cell>
          <cell r="B407">
            <v>25</v>
          </cell>
          <cell r="C407" t="str">
            <v xml:space="preserve">Sardinel de 1-13/16" de ancho Marca Hager acabado Aluminio Natural Largo:  </v>
          </cell>
          <cell r="D407" t="str">
            <v>6'</v>
          </cell>
          <cell r="E407" t="str">
            <v>505SAV</v>
          </cell>
          <cell r="F407" t="str">
            <v>Hager</v>
          </cell>
          <cell r="G407" t="str">
            <v>Aluminio</v>
          </cell>
          <cell r="H407" t="str">
            <v>Hager</v>
          </cell>
          <cell r="I407">
            <v>19.75</v>
          </cell>
          <cell r="J407">
            <v>0.53</v>
          </cell>
          <cell r="K407">
            <v>10.467500000000001</v>
          </cell>
          <cell r="L407" t="e">
            <v>#N/A</v>
          </cell>
          <cell r="M407" t="e">
            <v>#N/A</v>
          </cell>
          <cell r="N407" t="e">
            <v>#N/A</v>
          </cell>
          <cell r="O407" t="e">
            <v>#N/A</v>
          </cell>
          <cell r="P407" t="str">
            <v>801-074</v>
          </cell>
        </row>
        <row r="409">
          <cell r="A409">
            <v>302</v>
          </cell>
          <cell r="B409">
            <v>25</v>
          </cell>
          <cell r="C409" t="str">
            <v xml:space="preserve">Sardinel de 4" de ancho Marca Hager acabado Aluminio Natural Largo:  </v>
          </cell>
          <cell r="D409" t="str">
            <v>3'</v>
          </cell>
          <cell r="E409" t="str">
            <v>506S</v>
          </cell>
          <cell r="F409" t="str">
            <v>Hager</v>
          </cell>
          <cell r="G409" t="str">
            <v>Aluminio</v>
          </cell>
          <cell r="H409" t="str">
            <v>Hager</v>
          </cell>
          <cell r="I409">
            <v>19.47</v>
          </cell>
          <cell r="J409">
            <v>0.53</v>
          </cell>
          <cell r="K409">
            <v>10.319100000000001</v>
          </cell>
          <cell r="L409" t="e">
            <v>#N/A</v>
          </cell>
          <cell r="M409" t="e">
            <v>#N/A</v>
          </cell>
          <cell r="N409" t="e">
            <v>#N/A</v>
          </cell>
          <cell r="O409" t="e">
            <v>#N/A</v>
          </cell>
          <cell r="P409" t="str">
            <v>801-075</v>
          </cell>
        </row>
        <row r="411">
          <cell r="A411">
            <v>303</v>
          </cell>
          <cell r="B411">
            <v>25</v>
          </cell>
          <cell r="C411" t="str">
            <v xml:space="preserve">Sardinel de 5" de ancho con sello de Vinil Marca Hager acabado Aluminio Natural Largo:  </v>
          </cell>
          <cell r="D411" t="str">
            <v>3'</v>
          </cell>
          <cell r="E411" t="str">
            <v>552SAV</v>
          </cell>
          <cell r="F411" t="str">
            <v>Hager</v>
          </cell>
          <cell r="G411" t="str">
            <v>Aluminio</v>
          </cell>
          <cell r="H411" t="str">
            <v>Hager</v>
          </cell>
          <cell r="I411">
            <v>23.7</v>
          </cell>
          <cell r="J411">
            <v>0.53</v>
          </cell>
          <cell r="K411">
            <v>12.561</v>
          </cell>
          <cell r="L411" t="e">
            <v>#N/A</v>
          </cell>
          <cell r="M411" t="e">
            <v>#N/A</v>
          </cell>
          <cell r="N411" t="e">
            <v>#N/A</v>
          </cell>
          <cell r="O411" t="e">
            <v>#N/A</v>
          </cell>
          <cell r="P411" t="str">
            <v>801-075</v>
          </cell>
        </row>
        <row r="412">
          <cell r="A412">
            <v>304</v>
          </cell>
          <cell r="B412">
            <v>25</v>
          </cell>
          <cell r="C412" t="str">
            <v xml:space="preserve">Sardinel de 5" de ancho con sello de Vinil Marca Hager acabado Aluminio Natural Largo:  </v>
          </cell>
          <cell r="D412" t="str">
            <v>6'</v>
          </cell>
          <cell r="E412" t="str">
            <v>552S</v>
          </cell>
          <cell r="F412" t="str">
            <v>Hager</v>
          </cell>
          <cell r="G412" t="str">
            <v>Aluminio</v>
          </cell>
          <cell r="H412" t="str">
            <v>Hager</v>
          </cell>
          <cell r="I412">
            <v>47.4</v>
          </cell>
          <cell r="J412">
            <v>0.53</v>
          </cell>
          <cell r="K412">
            <v>25.122</v>
          </cell>
          <cell r="L412" t="e">
            <v>#N/A</v>
          </cell>
          <cell r="M412" t="e">
            <v>#N/A</v>
          </cell>
          <cell r="N412" t="e">
            <v>#N/A</v>
          </cell>
          <cell r="O412" t="e">
            <v>#N/A</v>
          </cell>
          <cell r="P412" t="str">
            <v>801-076</v>
          </cell>
        </row>
        <row r="413">
          <cell r="C413" t="str">
            <v>SARDINELES PEMKO</v>
          </cell>
        </row>
        <row r="414">
          <cell r="A414">
            <v>305</v>
          </cell>
          <cell r="B414">
            <v>25</v>
          </cell>
          <cell r="C414" t="str">
            <v xml:space="preserve">Sardinel de 4" de ancho Marca Pemko acabado Aluminio Natural Largo:  </v>
          </cell>
          <cell r="D414" t="str">
            <v>3'</v>
          </cell>
          <cell r="E414" t="str">
            <v>270A36</v>
          </cell>
          <cell r="F414" t="str">
            <v>Pemko</v>
          </cell>
          <cell r="G414" t="str">
            <v>Aluminio</v>
          </cell>
          <cell r="H414" t="str">
            <v>Pemko</v>
          </cell>
          <cell r="I414">
            <v>13.23</v>
          </cell>
          <cell r="J414">
            <v>0.63</v>
          </cell>
          <cell r="K414">
            <v>8.3349000000000011</v>
          </cell>
          <cell r="L414" t="e">
            <v>#N/A</v>
          </cell>
          <cell r="M414" t="e">
            <v>#N/A</v>
          </cell>
          <cell r="N414" t="e">
            <v>#N/A</v>
          </cell>
          <cell r="O414" t="e">
            <v>#N/A</v>
          </cell>
          <cell r="P414" t="str">
            <v>801-074</v>
          </cell>
        </row>
        <row r="415">
          <cell r="A415">
            <v>306</v>
          </cell>
          <cell r="B415">
            <v>25</v>
          </cell>
          <cell r="C415" t="str">
            <v xml:space="preserve">Sardinel de 4" de ancho Marca Pemko acabado Aluminio Natural Largo:  </v>
          </cell>
          <cell r="D415" t="str">
            <v>4'</v>
          </cell>
          <cell r="E415" t="str">
            <v>270A48</v>
          </cell>
          <cell r="F415" t="str">
            <v>Pemko</v>
          </cell>
          <cell r="G415" t="str">
            <v>Aluminio</v>
          </cell>
          <cell r="H415" t="str">
            <v>Pemko</v>
          </cell>
          <cell r="I415">
            <v>17.64</v>
          </cell>
          <cell r="J415">
            <v>0.63</v>
          </cell>
          <cell r="K415">
            <v>11.113200000000001</v>
          </cell>
          <cell r="L415" t="e">
            <v>#N/A</v>
          </cell>
          <cell r="M415" t="e">
            <v>#N/A</v>
          </cell>
          <cell r="N415" t="e">
            <v>#N/A</v>
          </cell>
          <cell r="O415" t="e">
            <v>#N/A</v>
          </cell>
          <cell r="P415" t="str">
            <v>801-075</v>
          </cell>
        </row>
        <row r="416">
          <cell r="A416">
            <v>307</v>
          </cell>
          <cell r="B416">
            <v>25</v>
          </cell>
          <cell r="C416" t="str">
            <v xml:space="preserve">Sardinel de 4" de ancho Marca Pemko acabado Aluminio Natural Largo:  </v>
          </cell>
          <cell r="D416" t="str">
            <v>6'</v>
          </cell>
          <cell r="E416" t="str">
            <v>270A72</v>
          </cell>
          <cell r="F416" t="str">
            <v>Pemko</v>
          </cell>
          <cell r="G416" t="str">
            <v>Aluminio</v>
          </cell>
          <cell r="H416" t="str">
            <v>Pemko</v>
          </cell>
          <cell r="I416">
            <v>26.46</v>
          </cell>
          <cell r="J416">
            <v>0.63</v>
          </cell>
          <cell r="K416">
            <v>16.669800000000002</v>
          </cell>
          <cell r="L416" t="e">
            <v>#N/A</v>
          </cell>
          <cell r="M416" t="e">
            <v>#N/A</v>
          </cell>
          <cell r="N416" t="e">
            <v>#N/A</v>
          </cell>
          <cell r="O416" t="e">
            <v>#N/A</v>
          </cell>
          <cell r="P416" t="str">
            <v>801-076</v>
          </cell>
        </row>
        <row r="417">
          <cell r="A417">
            <v>308</v>
          </cell>
          <cell r="B417">
            <v>25</v>
          </cell>
          <cell r="C417" t="str">
            <v xml:space="preserve">Sardinel de 4" de ancho Marca Pemko acabado Aluminio Natural Largo:  </v>
          </cell>
          <cell r="D417" t="str">
            <v>8'</v>
          </cell>
          <cell r="E417" t="str">
            <v>270A84</v>
          </cell>
          <cell r="F417" t="str">
            <v>Pemko</v>
          </cell>
          <cell r="G417" t="str">
            <v>Aluminio</v>
          </cell>
          <cell r="H417" t="str">
            <v>Pemko</v>
          </cell>
          <cell r="I417">
            <v>35.28</v>
          </cell>
          <cell r="J417">
            <v>0.63</v>
          </cell>
          <cell r="K417">
            <v>22.226400000000002</v>
          </cell>
          <cell r="L417" t="e">
            <v>#N/A</v>
          </cell>
          <cell r="M417" t="e">
            <v>#N/A</v>
          </cell>
          <cell r="N417" t="e">
            <v>#N/A</v>
          </cell>
          <cell r="O417" t="e">
            <v>#N/A</v>
          </cell>
          <cell r="P417" t="str">
            <v>801-077</v>
          </cell>
        </row>
        <row r="419">
          <cell r="A419">
            <v>309</v>
          </cell>
          <cell r="B419">
            <v>25</v>
          </cell>
          <cell r="C419" t="str">
            <v xml:space="preserve">Sardinel de 3" de ancho Liso Marca Pemko acabado Aluminio Natural Largo:  </v>
          </cell>
          <cell r="D419" t="str">
            <v>3'</v>
          </cell>
          <cell r="E419" t="str">
            <v>151A36</v>
          </cell>
          <cell r="F419" t="str">
            <v>Pemko</v>
          </cell>
          <cell r="G419" t="str">
            <v>Aluminio</v>
          </cell>
          <cell r="H419" t="str">
            <v>Pemko</v>
          </cell>
          <cell r="I419">
            <v>12.03</v>
          </cell>
          <cell r="J419">
            <v>0.63</v>
          </cell>
          <cell r="K419">
            <v>7.5789</v>
          </cell>
          <cell r="L419" t="e">
            <v>#N/A</v>
          </cell>
          <cell r="M419" t="e">
            <v>#N/A</v>
          </cell>
          <cell r="N419" t="e">
            <v>#N/A</v>
          </cell>
          <cell r="O419" t="e">
            <v>#N/A</v>
          </cell>
          <cell r="P419" t="str">
            <v>801-074</v>
          </cell>
        </row>
        <row r="420">
          <cell r="A420">
            <v>310</v>
          </cell>
          <cell r="B420">
            <v>25</v>
          </cell>
          <cell r="C420" t="str">
            <v xml:space="preserve">Sardinel de 3" de ancho Liso Marca Pemko acabado Aluminio Natural Largo:  </v>
          </cell>
          <cell r="D420" t="str">
            <v>4'</v>
          </cell>
          <cell r="E420" t="str">
            <v>151A48</v>
          </cell>
          <cell r="F420" t="str">
            <v>Pemko</v>
          </cell>
          <cell r="G420" t="str">
            <v>Aluminio</v>
          </cell>
          <cell r="H420" t="str">
            <v>Pemko</v>
          </cell>
          <cell r="I420">
            <v>16.04</v>
          </cell>
          <cell r="J420">
            <v>0.63</v>
          </cell>
          <cell r="K420">
            <v>10.1052</v>
          </cell>
          <cell r="L420" t="e">
            <v>#N/A</v>
          </cell>
          <cell r="M420" t="e">
            <v>#N/A</v>
          </cell>
          <cell r="N420" t="e">
            <v>#N/A</v>
          </cell>
          <cell r="O420" t="e">
            <v>#N/A</v>
          </cell>
          <cell r="P420" t="str">
            <v>801-075</v>
          </cell>
        </row>
        <row r="422">
          <cell r="A422">
            <v>311</v>
          </cell>
          <cell r="B422">
            <v>25</v>
          </cell>
          <cell r="C422" t="str">
            <v xml:space="preserve">Sardinel de 1-3/4" de ancho Marca Pemko acabado Aluminio Natural Largo:  </v>
          </cell>
          <cell r="D422" t="str">
            <v>3'</v>
          </cell>
          <cell r="E422" t="str">
            <v>236A36</v>
          </cell>
          <cell r="F422" t="str">
            <v>Pemko</v>
          </cell>
          <cell r="G422" t="str">
            <v>Aluminio</v>
          </cell>
          <cell r="H422" t="str">
            <v>Pemko</v>
          </cell>
          <cell r="I422">
            <v>9.39</v>
          </cell>
          <cell r="J422">
            <v>0.63</v>
          </cell>
          <cell r="K422">
            <v>5.9157000000000002</v>
          </cell>
          <cell r="L422" t="e">
            <v>#N/A</v>
          </cell>
          <cell r="M422" t="e">
            <v>#N/A</v>
          </cell>
          <cell r="N422" t="e">
            <v>#N/A</v>
          </cell>
          <cell r="O422" t="e">
            <v>#N/A</v>
          </cell>
          <cell r="P422" t="str">
            <v>801-074</v>
          </cell>
        </row>
        <row r="424">
          <cell r="A424">
            <v>312</v>
          </cell>
          <cell r="B424">
            <v>25</v>
          </cell>
          <cell r="C424" t="str">
            <v xml:space="preserve">Sardinel de 4" de ancho Marca Pemko acabado Aluminio Natural Largo:  </v>
          </cell>
          <cell r="D424" t="str">
            <v>3'</v>
          </cell>
          <cell r="E424" t="str">
            <v>2364A36</v>
          </cell>
          <cell r="F424" t="str">
            <v>Pemko</v>
          </cell>
          <cell r="G424" t="str">
            <v>Aluminio</v>
          </cell>
          <cell r="H424" t="str">
            <v>Pemko</v>
          </cell>
          <cell r="I424">
            <v>18.21</v>
          </cell>
          <cell r="J424">
            <v>0.63</v>
          </cell>
          <cell r="K424">
            <v>11.472300000000001</v>
          </cell>
          <cell r="L424" t="e">
            <v>#N/A</v>
          </cell>
          <cell r="M424" t="e">
            <v>#N/A</v>
          </cell>
          <cell r="N424" t="e">
            <v>#N/A</v>
          </cell>
          <cell r="O424" t="e">
            <v>#N/A</v>
          </cell>
          <cell r="P424" t="str">
            <v>801-075</v>
          </cell>
        </row>
        <row r="426">
          <cell r="A426">
            <v>313</v>
          </cell>
          <cell r="B426">
            <v>25</v>
          </cell>
          <cell r="C426" t="str">
            <v xml:space="preserve">Sardinel de 5" de ancho con sello de Vinil Marca Pemko acabado Aluminio Natural Largo:  </v>
          </cell>
          <cell r="D426" t="str">
            <v>3'</v>
          </cell>
          <cell r="E426" t="str">
            <v>179AV36</v>
          </cell>
          <cell r="F426" t="str">
            <v>Pemko</v>
          </cell>
          <cell r="G426" t="str">
            <v>Aluminio</v>
          </cell>
          <cell r="H426" t="str">
            <v>Pemko</v>
          </cell>
          <cell r="I426">
            <v>23.52</v>
          </cell>
          <cell r="J426">
            <v>0.63</v>
          </cell>
          <cell r="K426">
            <v>14.817600000000001</v>
          </cell>
          <cell r="L426" t="e">
            <v>#N/A</v>
          </cell>
          <cell r="M426" t="e">
            <v>#N/A</v>
          </cell>
          <cell r="N426" t="e">
            <v>#N/A</v>
          </cell>
          <cell r="O426" t="e">
            <v>#N/A</v>
          </cell>
          <cell r="P426" t="str">
            <v>801-075</v>
          </cell>
        </row>
        <row r="427">
          <cell r="A427">
            <v>314</v>
          </cell>
          <cell r="B427">
            <v>25</v>
          </cell>
          <cell r="C427" t="str">
            <v xml:space="preserve">Sardinel de 5" de ancho con sello de Vinil Marca Pemko acabado Aluminio Natural Largo:  </v>
          </cell>
          <cell r="D427" t="str">
            <v>6'</v>
          </cell>
          <cell r="E427" t="str">
            <v>179AV72</v>
          </cell>
          <cell r="F427" t="str">
            <v>Pemko</v>
          </cell>
          <cell r="G427" t="str">
            <v>Aluminio</v>
          </cell>
          <cell r="H427" t="str">
            <v>Pemko</v>
          </cell>
          <cell r="I427">
            <v>47.04</v>
          </cell>
          <cell r="J427">
            <v>0.63</v>
          </cell>
          <cell r="K427">
            <v>29.635200000000001</v>
          </cell>
          <cell r="L427" t="e">
            <v>#N/A</v>
          </cell>
          <cell r="M427" t="e">
            <v>#N/A</v>
          </cell>
          <cell r="N427" t="e">
            <v>#N/A</v>
          </cell>
          <cell r="O427" t="e">
            <v>#N/A</v>
          </cell>
          <cell r="P427" t="str">
            <v>801-076</v>
          </cell>
        </row>
        <row r="428">
          <cell r="C428" t="str">
            <v>MIRILLAS ANEMOSTAT</v>
          </cell>
        </row>
        <row r="429">
          <cell r="A429">
            <v>315</v>
          </cell>
          <cell r="B429">
            <v>26</v>
          </cell>
          <cell r="C429" t="str">
            <v xml:space="preserve">Mirilla metalica con cristal templado medidas:  </v>
          </cell>
          <cell r="D429" t="str">
            <v>12" x 12"</v>
          </cell>
          <cell r="E429" t="str">
            <v>LOPRO-CO-12-12-TEMP</v>
          </cell>
          <cell r="F429" t="str">
            <v>Anemostat</v>
          </cell>
          <cell r="G429" t="e">
            <v>#N/A</v>
          </cell>
          <cell r="H429" t="str">
            <v>Anemostat</v>
          </cell>
          <cell r="I429">
            <v>67</v>
          </cell>
          <cell r="J429">
            <v>0.55000000000000004</v>
          </cell>
          <cell r="K429">
            <v>36.85</v>
          </cell>
          <cell r="L429">
            <v>1</v>
          </cell>
          <cell r="M429">
            <v>1</v>
          </cell>
          <cell r="N429">
            <v>1</v>
          </cell>
          <cell r="O429">
            <v>2468.9500000000003</v>
          </cell>
          <cell r="P429" t="str">
            <v>801-076</v>
          </cell>
        </row>
        <row r="430">
          <cell r="A430">
            <v>316</v>
          </cell>
          <cell r="B430">
            <v>26</v>
          </cell>
          <cell r="C430" t="str">
            <v xml:space="preserve">Mirilla metalica con cristal templado medidas:  </v>
          </cell>
          <cell r="D430" t="str">
            <v>8" x 24"</v>
          </cell>
          <cell r="E430" t="str">
            <v>LOPRO-CO-8-24-TEMP</v>
          </cell>
          <cell r="F430" t="str">
            <v>Anemostat</v>
          </cell>
          <cell r="G430" t="e">
            <v>#N/A</v>
          </cell>
          <cell r="H430" t="str">
            <v>Anemostat</v>
          </cell>
          <cell r="I430">
            <v>91</v>
          </cell>
          <cell r="J430">
            <v>0.55000000000000004</v>
          </cell>
          <cell r="K430">
            <v>50.050000000000004</v>
          </cell>
          <cell r="L430">
            <v>1</v>
          </cell>
          <cell r="M430">
            <v>1</v>
          </cell>
          <cell r="N430">
            <v>1</v>
          </cell>
          <cell r="O430">
            <v>4554.55</v>
          </cell>
          <cell r="P430" t="str">
            <v>801-077</v>
          </cell>
        </row>
        <row r="431">
          <cell r="A431">
            <v>317</v>
          </cell>
          <cell r="B431">
            <v>26</v>
          </cell>
          <cell r="C431" t="str">
            <v xml:space="preserve">Mirilla metalica con cristal templado medidas:  </v>
          </cell>
          <cell r="D431" t="str">
            <v>24" x 32"</v>
          </cell>
          <cell r="E431" t="str">
            <v>LOPRO-CO-24-32-TEMP</v>
          </cell>
          <cell r="F431" t="str">
            <v>Anemostat</v>
          </cell>
          <cell r="G431" t="e">
            <v>#N/A</v>
          </cell>
          <cell r="H431" t="str">
            <v>Anemostat</v>
          </cell>
          <cell r="I431">
            <v>155</v>
          </cell>
          <cell r="J431">
            <v>0.55000000000000004</v>
          </cell>
          <cell r="K431">
            <v>85.25</v>
          </cell>
          <cell r="L431">
            <v>1</v>
          </cell>
          <cell r="M431">
            <v>1</v>
          </cell>
          <cell r="N431">
            <v>1</v>
          </cell>
          <cell r="O431">
            <v>13213.75</v>
          </cell>
          <cell r="P431" t="str">
            <v>801-078</v>
          </cell>
        </row>
        <row r="432">
          <cell r="A432">
            <v>317</v>
          </cell>
          <cell r="B432">
            <v>26</v>
          </cell>
          <cell r="C432" t="str">
            <v xml:space="preserve">Mirilla metalica con cristal de Seguridad Mallado medidas:  </v>
          </cell>
          <cell r="D432" t="str">
            <v>6" x 24"</v>
          </cell>
          <cell r="E432" t="str">
            <v>LOPRO-CO-6-24-WG</v>
          </cell>
          <cell r="F432" t="str">
            <v>Anemostat</v>
          </cell>
          <cell r="G432" t="e">
            <v>#N/A</v>
          </cell>
          <cell r="H432" t="str">
            <v>Anemostat</v>
          </cell>
          <cell r="I432">
            <v>86</v>
          </cell>
          <cell r="J432">
            <v>0.55000000000000004</v>
          </cell>
          <cell r="K432">
            <v>47.300000000000004</v>
          </cell>
          <cell r="L432">
            <v>1</v>
          </cell>
          <cell r="M432">
            <v>1</v>
          </cell>
          <cell r="N432">
            <v>1</v>
          </cell>
          <cell r="O432">
            <v>4067.8</v>
          </cell>
          <cell r="P432" t="str">
            <v>801-078</v>
          </cell>
        </row>
        <row r="433">
          <cell r="A433">
            <v>318</v>
          </cell>
          <cell r="B433">
            <v>26</v>
          </cell>
          <cell r="C433" t="str">
            <v xml:space="preserve">Mirilla metalica con cristal de Seguridad Mallado medidas:  </v>
          </cell>
          <cell r="D433" t="str">
            <v>12" x 12"</v>
          </cell>
          <cell r="E433" t="str">
            <v>LOPRO-CO-12-12-WG</v>
          </cell>
          <cell r="F433" t="str">
            <v>Anemostat</v>
          </cell>
          <cell r="G433" t="e">
            <v>#N/A</v>
          </cell>
          <cell r="H433" t="str">
            <v>Anemostat</v>
          </cell>
          <cell r="I433">
            <v>65</v>
          </cell>
          <cell r="J433">
            <v>0.55000000000000004</v>
          </cell>
          <cell r="K433">
            <v>35.75</v>
          </cell>
          <cell r="L433">
            <v>1</v>
          </cell>
          <cell r="M433">
            <v>1</v>
          </cell>
          <cell r="N433">
            <v>1</v>
          </cell>
          <cell r="O433">
            <v>2323.75</v>
          </cell>
          <cell r="P433" t="str">
            <v>801-079</v>
          </cell>
        </row>
        <row r="434">
          <cell r="A434">
            <v>318</v>
          </cell>
          <cell r="B434">
            <v>26</v>
          </cell>
          <cell r="C434" t="str">
            <v xml:space="preserve">Mirilla metalica con cristal de Seguridad Mallado medidas:  </v>
          </cell>
          <cell r="D434" t="str">
            <v>24" x 24"</v>
          </cell>
          <cell r="E434" t="str">
            <v>LOPRO-CO-24-24-WG</v>
          </cell>
          <cell r="F434" t="str">
            <v>Anemostat</v>
          </cell>
          <cell r="G434" t="e">
            <v>#N/A</v>
          </cell>
          <cell r="H434" t="str">
            <v>Anemostat</v>
          </cell>
          <cell r="I434">
            <v>172</v>
          </cell>
          <cell r="J434">
            <v>0.55000000000000004</v>
          </cell>
          <cell r="K434">
            <v>94.600000000000009</v>
          </cell>
          <cell r="L434">
            <v>1</v>
          </cell>
          <cell r="M434">
            <v>1</v>
          </cell>
          <cell r="N434">
            <v>1</v>
          </cell>
          <cell r="O434">
            <v>16271.2</v>
          </cell>
          <cell r="P434" t="str">
            <v>801-079</v>
          </cell>
        </row>
        <row r="435">
          <cell r="A435">
            <v>319</v>
          </cell>
          <cell r="B435">
            <v>26</v>
          </cell>
          <cell r="C435" t="str">
            <v xml:space="preserve">Mirilla metalica con cristal de Seguridad Mallado medidas:  </v>
          </cell>
          <cell r="D435" t="str">
            <v>24" x 32"</v>
          </cell>
          <cell r="E435" t="str">
            <v>LOPRO-CO-24-32-WG</v>
          </cell>
          <cell r="F435" t="str">
            <v>Anemostat</v>
          </cell>
          <cell r="G435" t="e">
            <v>#N/A</v>
          </cell>
          <cell r="H435" t="str">
            <v>Anemostat</v>
          </cell>
          <cell r="I435">
            <v>215</v>
          </cell>
          <cell r="J435">
            <v>0.55000000000000004</v>
          </cell>
          <cell r="K435">
            <v>118.25000000000001</v>
          </cell>
          <cell r="L435">
            <v>1</v>
          </cell>
          <cell r="M435">
            <v>1</v>
          </cell>
          <cell r="N435">
            <v>1</v>
          </cell>
          <cell r="O435">
            <v>25423.750000000004</v>
          </cell>
          <cell r="P435" t="str">
            <v>801-080</v>
          </cell>
        </row>
        <row r="436">
          <cell r="A436">
            <v>320</v>
          </cell>
          <cell r="B436">
            <v>26</v>
          </cell>
          <cell r="C436" t="str">
            <v xml:space="preserve">Mirilla metalica con Lexan de Seguridad medidas:  </v>
          </cell>
          <cell r="D436" t="str">
            <v>24" x 32"</v>
          </cell>
          <cell r="E436" t="str">
            <v>LOPRO-CO-24-32-LEX</v>
          </cell>
          <cell r="F436" t="str">
            <v>Anemostat</v>
          </cell>
          <cell r="G436" t="e">
            <v>#N/A</v>
          </cell>
          <cell r="H436" t="str">
            <v>Anemostat</v>
          </cell>
          <cell r="I436">
            <v>362</v>
          </cell>
          <cell r="J436">
            <v>0.55000000000000004</v>
          </cell>
          <cell r="K436">
            <v>199.10000000000002</v>
          </cell>
          <cell r="L436">
            <v>1</v>
          </cell>
          <cell r="M436">
            <v>1</v>
          </cell>
          <cell r="N436">
            <v>1</v>
          </cell>
          <cell r="O436">
            <v>72074.200000000012</v>
          </cell>
          <cell r="P436" t="str">
            <v>801-081</v>
          </cell>
        </row>
        <row r="437">
          <cell r="C437" t="str">
            <v>MALETEROS</v>
          </cell>
        </row>
        <row r="438">
          <cell r="A438">
            <v>321</v>
          </cell>
          <cell r="B438">
            <v>27</v>
          </cell>
          <cell r="C438" t="str">
            <v>Maletero del ancho de closet  x 40cm.armazon de madera de pino caras triply frente madera de pino forma de media cana</v>
          </cell>
          <cell r="E438" t="str">
            <v>MALET-040-100</v>
          </cell>
          <cell r="F438" t="str">
            <v>PROA</v>
          </cell>
          <cell r="G438" t="str">
            <v>Blanco</v>
          </cell>
          <cell r="H438" t="str">
            <v>PROA</v>
          </cell>
          <cell r="I438">
            <v>15</v>
          </cell>
          <cell r="J438">
            <v>1.25</v>
          </cell>
          <cell r="K438">
            <v>18.75</v>
          </cell>
          <cell r="L438" t="e">
            <v>#N/A</v>
          </cell>
          <cell r="M438" t="e">
            <v>#N/A</v>
          </cell>
          <cell r="N438" t="e">
            <v>#N/A</v>
          </cell>
          <cell r="O438" t="e">
            <v>#N/A</v>
          </cell>
          <cell r="P438" t="str">
            <v>802-003</v>
          </cell>
        </row>
        <row r="439">
          <cell r="A439">
            <v>322</v>
          </cell>
          <cell r="B439">
            <v>27</v>
          </cell>
          <cell r="C439" t="str">
            <v>Colgador fabricado con tubo de aluminio ancho de closet colocado con 2 bridas.</v>
          </cell>
          <cell r="E439" t="str">
            <v>T-COL-100-CB</v>
          </cell>
          <cell r="F439" t="str">
            <v>PROA</v>
          </cell>
          <cell r="G439">
            <v>625</v>
          </cell>
          <cell r="H439" t="str">
            <v>PROA</v>
          </cell>
          <cell r="I439">
            <v>10</v>
          </cell>
          <cell r="J439">
            <v>1.25</v>
          </cell>
          <cell r="K439">
            <v>12.5</v>
          </cell>
          <cell r="L439" t="e">
            <v>#N/A</v>
          </cell>
          <cell r="M439" t="e">
            <v>#N/A</v>
          </cell>
          <cell r="N439" t="e">
            <v>#N/A</v>
          </cell>
          <cell r="O439" t="e">
            <v>#N/A</v>
          </cell>
          <cell r="P439" t="str">
            <v>?</v>
          </cell>
        </row>
        <row r="440">
          <cell r="A440">
            <v>323</v>
          </cell>
          <cell r="B440">
            <v>27</v>
          </cell>
          <cell r="C440" t="str">
            <v>Maletero del ancho de closet de 1.20 x 40cm.armazon de madera de pino caras triply frente madera de pino forma de media cana</v>
          </cell>
          <cell r="E440" t="str">
            <v>MALET-040-120</v>
          </cell>
          <cell r="F440" t="str">
            <v>PROA</v>
          </cell>
          <cell r="G440" t="str">
            <v>Blanco</v>
          </cell>
          <cell r="H440" t="str">
            <v>PROA</v>
          </cell>
          <cell r="I440">
            <v>18</v>
          </cell>
          <cell r="J440">
            <v>1.25</v>
          </cell>
          <cell r="K440">
            <v>22.5</v>
          </cell>
          <cell r="L440" t="e">
            <v>#N/A</v>
          </cell>
          <cell r="M440" t="e">
            <v>#N/A</v>
          </cell>
          <cell r="N440" t="e">
            <v>#N/A</v>
          </cell>
          <cell r="O440" t="e">
            <v>#N/A</v>
          </cell>
          <cell r="P440" t="str">
            <v>802-003</v>
          </cell>
        </row>
        <row r="441">
          <cell r="A441">
            <v>324</v>
          </cell>
          <cell r="B441">
            <v>27</v>
          </cell>
          <cell r="C441" t="str">
            <v>Colgador fabricado con tubo de aluminio al ancho de closet (1.20 mts)  colocado con 2 bridas.</v>
          </cell>
          <cell r="E441" t="str">
            <v>T-COL-120-CB</v>
          </cell>
          <cell r="F441" t="str">
            <v>PROA</v>
          </cell>
          <cell r="G441">
            <v>625</v>
          </cell>
          <cell r="H441" t="str">
            <v>PROA</v>
          </cell>
          <cell r="I441">
            <v>12</v>
          </cell>
          <cell r="J441">
            <v>1.25</v>
          </cell>
          <cell r="K441">
            <v>15</v>
          </cell>
          <cell r="L441" t="e">
            <v>#N/A</v>
          </cell>
          <cell r="M441" t="e">
            <v>#N/A</v>
          </cell>
          <cell r="N441" t="e">
            <v>#N/A</v>
          </cell>
          <cell r="O441" t="e">
            <v>#N/A</v>
          </cell>
          <cell r="P441" t="str">
            <v>?</v>
          </cell>
        </row>
        <row r="442">
          <cell r="A442">
            <v>325</v>
          </cell>
          <cell r="B442">
            <v>27</v>
          </cell>
          <cell r="C442" t="str">
            <v>varios  varios</v>
          </cell>
          <cell r="E442" t="str">
            <v>aaaaa</v>
          </cell>
          <cell r="F442" t="str">
            <v>PROA</v>
          </cell>
          <cell r="G442">
            <v>0</v>
          </cell>
          <cell r="H442" t="str">
            <v>PROA</v>
          </cell>
          <cell r="I442">
            <v>1</v>
          </cell>
          <cell r="J442">
            <v>1.25</v>
          </cell>
          <cell r="K442">
            <v>1.25</v>
          </cell>
          <cell r="L442" t="e">
            <v>#N/A</v>
          </cell>
          <cell r="M442" t="e">
            <v>#N/A</v>
          </cell>
          <cell r="N442" t="e">
            <v>#N/A</v>
          </cell>
          <cell r="O442" t="e">
            <v>#N/A</v>
          </cell>
          <cell r="P442" t="str">
            <v>?</v>
          </cell>
        </row>
        <row r="443">
          <cell r="C443" t="str">
            <v>PUERTAS DE IMPACTO</v>
          </cell>
        </row>
        <row r="444">
          <cell r="A444">
            <v>326</v>
          </cell>
          <cell r="B444">
            <v>28</v>
          </cell>
          <cell r="C444" t="str">
            <v>Puerta de impacto Sencilla solida, Medium Duty, Tipo 7 Vaiven  3' 0" X 6' 8"  con recubrimiento de plastico abs, incluye: bisagras uso rudo, mirillas, bumpers de 24", sellos y recubrimirnto de laminado plastico.</v>
          </cell>
          <cell r="E444" t="str">
            <v>T7-3068S-MD</v>
          </cell>
          <cell r="F444" t="str">
            <v>Carlson</v>
          </cell>
          <cell r="G444" t="str">
            <v>Prefinish</v>
          </cell>
          <cell r="H444" t="str">
            <v>Carlson</v>
          </cell>
          <cell r="I444">
            <v>861</v>
          </cell>
          <cell r="J444">
            <v>1.2</v>
          </cell>
          <cell r="K444">
            <v>1033.2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?</v>
          </cell>
        </row>
        <row r="445">
          <cell r="A445">
            <v>327</v>
          </cell>
          <cell r="B445">
            <v>28</v>
          </cell>
          <cell r="C445" t="str">
            <v xml:space="preserve">Puerta de impacto Sencilla solida, Medium Duty, Tipo 7 Vaiven  6' 0" X 7' 0"  con recubrimiento de plastico abs, incluye: bisagras uso rudo, mirillas, bumpers de 24" y sellos. </v>
          </cell>
          <cell r="E445" t="str">
            <v>T7-6070S-MD</v>
          </cell>
          <cell r="F445" t="str">
            <v>Carlson</v>
          </cell>
          <cell r="G445" t="str">
            <v>Prefinish</v>
          </cell>
          <cell r="H445" t="str">
            <v>Carlson</v>
          </cell>
          <cell r="I445">
            <v>1497</v>
          </cell>
          <cell r="J445">
            <v>1.2</v>
          </cell>
          <cell r="K445">
            <v>1796.3999999999999</v>
          </cell>
          <cell r="L445" t="e">
            <v>#N/A</v>
          </cell>
          <cell r="M445" t="e">
            <v>#N/A</v>
          </cell>
          <cell r="N445" t="e">
            <v>#N/A</v>
          </cell>
          <cell r="O445" t="e">
            <v>#N/A</v>
          </cell>
          <cell r="P445" t="str">
            <v>?</v>
          </cell>
        </row>
        <row r="446">
          <cell r="C446" t="str">
            <v>PUERTAS DE REJILLA</v>
          </cell>
        </row>
        <row r="447">
          <cell r="A447">
            <v>328</v>
          </cell>
          <cell r="B447">
            <v>29</v>
          </cell>
          <cell r="C447" t="str">
            <v>Puerta de madera de Pino modelo Rejilla de 0.45 x 2.13 cms</v>
          </cell>
          <cell r="E447" t="str">
            <v>PREJ-45213</v>
          </cell>
          <cell r="F447" t="str">
            <v>PROA</v>
          </cell>
          <cell r="G447" t="str">
            <v>S-mu</v>
          </cell>
          <cell r="H447" t="str">
            <v>PROA</v>
          </cell>
          <cell r="I447">
            <v>18</v>
          </cell>
          <cell r="J447">
            <v>1.25</v>
          </cell>
          <cell r="K447">
            <v>22.5</v>
          </cell>
        </row>
        <row r="448">
          <cell r="A448">
            <v>329</v>
          </cell>
          <cell r="B448">
            <v>29</v>
          </cell>
          <cell r="C448" t="str">
            <v>Puerta de madera de Pino modelo Rejilla de 0.60 x 2.13 cms.</v>
          </cell>
          <cell r="E448" t="str">
            <v>PREJ-60213</v>
          </cell>
          <cell r="F448" t="str">
            <v>PROA</v>
          </cell>
          <cell r="G448" t="str">
            <v>S-mu</v>
          </cell>
          <cell r="H448" t="str">
            <v>PROA</v>
          </cell>
          <cell r="I448">
            <v>20</v>
          </cell>
          <cell r="J448">
            <v>1.25</v>
          </cell>
          <cell r="K448">
            <v>25</v>
          </cell>
        </row>
        <row r="450">
          <cell r="A450">
            <v>330</v>
          </cell>
          <cell r="B450">
            <v>30</v>
          </cell>
          <cell r="C450" t="str">
            <v xml:space="preserve">Astragal de canto Marca Hager modelo 771S acabado aluminio - vinil, y de largo : </v>
          </cell>
          <cell r="D450" t="str">
            <v>7'</v>
          </cell>
          <cell r="E450" t="str">
            <v>771SAV</v>
          </cell>
          <cell r="F450" t="str">
            <v>Hager</v>
          </cell>
          <cell r="G450" t="str">
            <v>Alum- Vin</v>
          </cell>
          <cell r="H450" t="str">
            <v>Hager</v>
          </cell>
          <cell r="I450">
            <v>41.65</v>
          </cell>
          <cell r="J450">
            <v>0.53</v>
          </cell>
          <cell r="K450">
            <v>22.0745</v>
          </cell>
        </row>
        <row r="451">
          <cell r="A451">
            <v>335</v>
          </cell>
          <cell r="C451" t="str">
            <v>Jaladera modelo 15N de 3-1/2" x 5" marca Hager</v>
          </cell>
          <cell r="E451" t="str">
            <v>15N</v>
          </cell>
          <cell r="F451" t="str">
            <v>Hager</v>
          </cell>
          <cell r="G451" t="str">
            <v>US26D</v>
          </cell>
          <cell r="H451" t="str">
            <v>Hager</v>
          </cell>
          <cell r="I451">
            <v>13</v>
          </cell>
          <cell r="J451">
            <v>1.63</v>
          </cell>
          <cell r="K451">
            <v>21.189999999999998</v>
          </cell>
        </row>
        <row r="452">
          <cell r="A452">
            <v>340</v>
          </cell>
          <cell r="C452" t="str">
            <v>Fijo de madera de Encino de 0.54 x 2.03 m, con 6 cristales esmerilados de 6mm.</v>
          </cell>
          <cell r="E452" t="str">
            <v>FIJ-MAD-C/VID-RO-PS</v>
          </cell>
          <cell r="F452" t="str">
            <v>Proa</v>
          </cell>
          <cell r="G452" t="str">
            <v>S-mu</v>
          </cell>
          <cell r="H452" t="str">
            <v>Proa</v>
          </cell>
          <cell r="I452">
            <v>204.30900000000003</v>
          </cell>
          <cell r="J452">
            <v>1</v>
          </cell>
          <cell r="K452">
            <v>204.30900000000003</v>
          </cell>
        </row>
        <row r="453">
          <cell r="A453">
            <v>341</v>
          </cell>
          <cell r="C453" t="e">
            <v>#N/A</v>
          </cell>
          <cell r="D453" t="e">
            <v>#N/A</v>
          </cell>
          <cell r="E453" t="e">
            <v>#N/A</v>
          </cell>
          <cell r="F453" t="e">
            <v>#N/A</v>
          </cell>
          <cell r="G453" t="str">
            <v>Prefinish</v>
          </cell>
          <cell r="H453" t="e">
            <v>#N/A</v>
          </cell>
          <cell r="I453">
            <v>79.34</v>
          </cell>
          <cell r="J453">
            <v>1</v>
          </cell>
          <cell r="K453">
            <v>79.34</v>
          </cell>
        </row>
        <row r="455">
          <cell r="A455">
            <v>900</v>
          </cell>
          <cell r="C455" t="e">
            <v>#N/A</v>
          </cell>
          <cell r="E455" t="str">
            <v>837D</v>
          </cell>
          <cell r="F455" t="str">
            <v>HAGER</v>
          </cell>
          <cell r="G455">
            <v>626</v>
          </cell>
          <cell r="H455" t="str">
            <v>HAGER</v>
          </cell>
          <cell r="I455" t="str">
            <v>?</v>
          </cell>
          <cell r="J455" t="str">
            <v>?</v>
          </cell>
          <cell r="K455">
            <v>13.44</v>
          </cell>
        </row>
        <row r="456">
          <cell r="A456" t="str">
            <v>900a</v>
          </cell>
          <cell r="C456" t="e">
            <v>#N/A</v>
          </cell>
          <cell r="E456" t="str">
            <v>872SXN</v>
          </cell>
          <cell r="F456" t="str">
            <v>HAGER</v>
          </cell>
          <cell r="G456">
            <v>626</v>
          </cell>
          <cell r="H456" t="str">
            <v>HAGER</v>
          </cell>
          <cell r="I456" t="str">
            <v>?</v>
          </cell>
          <cell r="J456" t="str">
            <v>?</v>
          </cell>
          <cell r="K456">
            <v>13.44</v>
          </cell>
        </row>
        <row r="457">
          <cell r="A457" t="str">
            <v>900b</v>
          </cell>
          <cell r="C457" t="str">
            <v>Astragal acabado alumino, marca Hager, medidas</v>
          </cell>
          <cell r="D457" t="str">
            <v>6'8"</v>
          </cell>
          <cell r="E457" t="str">
            <v>771SAV</v>
          </cell>
          <cell r="F457" t="str">
            <v>HAGER</v>
          </cell>
          <cell r="G457">
            <v>626</v>
          </cell>
          <cell r="H457" t="str">
            <v>HAGER</v>
          </cell>
          <cell r="I457">
            <v>41.65</v>
          </cell>
          <cell r="J457">
            <v>0.53</v>
          </cell>
          <cell r="K457">
            <v>22.0745</v>
          </cell>
        </row>
        <row r="459">
          <cell r="C459" t="str">
            <v>PINTURA</v>
          </cell>
        </row>
        <row r="460">
          <cell r="A460">
            <v>901</v>
          </cell>
          <cell r="B460">
            <v>45</v>
          </cell>
          <cell r="C460" t="str">
            <v>Pintura de Puerta y Marco según Muestra</v>
          </cell>
          <cell r="E460" t="str">
            <v>PINT-001</v>
          </cell>
          <cell r="F460" t="str">
            <v>PROA</v>
          </cell>
          <cell r="G460" t="str">
            <v>S-mu</v>
          </cell>
          <cell r="H460" t="str">
            <v>M-O</v>
          </cell>
          <cell r="I460">
            <v>42</v>
          </cell>
          <cell r="J460">
            <v>1.43</v>
          </cell>
          <cell r="K460">
            <v>60.059999999999995</v>
          </cell>
        </row>
        <row r="461">
          <cell r="A461">
            <v>902</v>
          </cell>
          <cell r="B461">
            <v>45</v>
          </cell>
          <cell r="C461" t="str">
            <v>Pintura de Puerta según Muestra</v>
          </cell>
          <cell r="E461" t="str">
            <v>PINT-002</v>
          </cell>
          <cell r="F461" t="str">
            <v>PROA</v>
          </cell>
          <cell r="G461" t="str">
            <v>S-mu</v>
          </cell>
          <cell r="H461" t="str">
            <v>M-O</v>
          </cell>
          <cell r="I461">
            <v>24.5</v>
          </cell>
          <cell r="J461">
            <v>1.43</v>
          </cell>
          <cell r="K461">
            <v>35.034999999999997</v>
          </cell>
        </row>
        <row r="462">
          <cell r="A462">
            <v>903</v>
          </cell>
          <cell r="B462">
            <v>45</v>
          </cell>
          <cell r="C462" t="str">
            <v>Pintura de Marco según Muestra</v>
          </cell>
          <cell r="E462" t="str">
            <v>PINT-003</v>
          </cell>
          <cell r="F462" t="str">
            <v>PROA</v>
          </cell>
          <cell r="G462" t="str">
            <v>S-mu</v>
          </cell>
          <cell r="H462" t="str">
            <v>M-O</v>
          </cell>
          <cell r="I462">
            <v>17.5</v>
          </cell>
          <cell r="J462">
            <v>1.43</v>
          </cell>
          <cell r="K462">
            <v>25.024999999999999</v>
          </cell>
        </row>
        <row r="463">
          <cell r="C463" t="str">
            <v>INSTALACION</v>
          </cell>
        </row>
        <row r="464">
          <cell r="A464">
            <v>1001</v>
          </cell>
          <cell r="B464">
            <v>50</v>
          </cell>
          <cell r="C464" t="str">
            <v>Instalacion completa de Puerta Metálica</v>
          </cell>
          <cell r="E464" t="str">
            <v>M-O</v>
          </cell>
          <cell r="F464" t="str">
            <v>PROA</v>
          </cell>
          <cell r="G464" t="str">
            <v>N-A</v>
          </cell>
          <cell r="H464" t="str">
            <v>M-O</v>
          </cell>
          <cell r="I464">
            <v>42</v>
          </cell>
          <cell r="J464">
            <v>1.43</v>
          </cell>
          <cell r="K464">
            <v>60.059999999999995</v>
          </cell>
        </row>
        <row r="465">
          <cell r="A465">
            <v>1002</v>
          </cell>
          <cell r="B465">
            <v>50</v>
          </cell>
          <cell r="C465" t="str">
            <v>Instalacion completa de Puerta de Madera</v>
          </cell>
          <cell r="E465" t="str">
            <v>M-O</v>
          </cell>
          <cell r="F465" t="str">
            <v>PROA</v>
          </cell>
          <cell r="G465" t="str">
            <v>N-A</v>
          </cell>
          <cell r="H465" t="str">
            <v>M-O</v>
          </cell>
          <cell r="I465">
            <v>42</v>
          </cell>
          <cell r="J465">
            <v>1.43</v>
          </cell>
          <cell r="K465">
            <v>60.059999999999995</v>
          </cell>
        </row>
        <row r="466">
          <cell r="A466">
            <v>1003</v>
          </cell>
          <cell r="B466">
            <v>50</v>
          </cell>
          <cell r="C466" t="str">
            <v>Instalacion completa de Puerta de Madera en baño</v>
          </cell>
          <cell r="E466" t="str">
            <v>M-O</v>
          </cell>
          <cell r="F466" t="str">
            <v>PROA</v>
          </cell>
          <cell r="G466" t="str">
            <v>N-A</v>
          </cell>
          <cell r="H466" t="str">
            <v>M-O</v>
          </cell>
          <cell r="I466">
            <v>35</v>
          </cell>
          <cell r="J466">
            <v>1.43</v>
          </cell>
          <cell r="K466">
            <v>50.05</v>
          </cell>
        </row>
        <row r="467">
          <cell r="A467">
            <v>1004</v>
          </cell>
          <cell r="B467">
            <v>50</v>
          </cell>
          <cell r="C467" t="str">
            <v>Instalacion completa de Puerta Multypanel</v>
          </cell>
          <cell r="E467" t="str">
            <v>M-O</v>
          </cell>
          <cell r="F467" t="str">
            <v>PROA</v>
          </cell>
          <cell r="G467" t="str">
            <v>N-A</v>
          </cell>
          <cell r="H467" t="str">
            <v>M-O</v>
          </cell>
          <cell r="I467">
            <v>31.5</v>
          </cell>
          <cell r="J467">
            <v>1.43</v>
          </cell>
          <cell r="K467">
            <v>45.044999999999995</v>
          </cell>
        </row>
        <row r="468">
          <cell r="A468">
            <v>1005</v>
          </cell>
          <cell r="B468">
            <v>50</v>
          </cell>
          <cell r="C468" t="str">
            <v>Instalacion completa de puerta shute</v>
          </cell>
          <cell r="E468" t="str">
            <v>M-O</v>
          </cell>
          <cell r="F468" t="str">
            <v>PROA</v>
          </cell>
          <cell r="G468" t="str">
            <v>N-A</v>
          </cell>
          <cell r="H468" t="str">
            <v>M-O</v>
          </cell>
          <cell r="I468">
            <v>35</v>
          </cell>
          <cell r="J468">
            <v>1.43</v>
          </cell>
          <cell r="K468">
            <v>50.05</v>
          </cell>
        </row>
        <row r="494">
          <cell r="L494" t="e">
            <v>#REF!</v>
          </cell>
          <cell r="M494" t="e">
            <v>#REF!</v>
          </cell>
          <cell r="N494" t="e">
            <v>#REF!</v>
          </cell>
          <cell r="O494" t="e">
            <v>#REF!</v>
          </cell>
          <cell r="P494" t="str">
            <v>210-62</v>
          </cell>
        </row>
      </sheetData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area-exterior"/>
      <sheetName val="UNIFTH"/>
      <sheetName val="CIVILTH"/>
      <sheetName val="TABLARTH"/>
      <sheetName val="PISOSIMPTH"/>
      <sheetName val="ZOCLOSTH"/>
      <sheetName val="PINTURASTH"/>
      <sheetName val="CARPINTETH"/>
      <sheetName val="BAÑOSTH"/>
      <sheetName val="PARAMSHELLestac"/>
      <sheetName val="PARAMSHELLtorreA"/>
      <sheetName val="PARAMSHELLtorreB"/>
      <sheetName val="PILAS"/>
      <sheetName val="estacionamiento"/>
      <sheetName val="nivel-depas"/>
      <sheetName val="PARAM-A"/>
      <sheetName val="TOTALES-A"/>
      <sheetName val="RESDEPTOSA"/>
      <sheetName val="DEPTOA1"/>
      <sheetName val="DEPTOA2"/>
      <sheetName val="DEPTOA3"/>
      <sheetName val="DEPTOA4"/>
      <sheetName val="MUROS"/>
      <sheetName val="DEPTOA5"/>
      <sheetName val="DEPTOA6"/>
      <sheetName val="DEPTOA7"/>
      <sheetName val="DEPTOA8"/>
      <sheetName val="DEPTOA9"/>
      <sheetName val="DEPTOA10"/>
      <sheetName val="DEPTOA11"/>
      <sheetName val="PARAM-B"/>
      <sheetName val="TOTALES-B"/>
      <sheetName val="RESDEPTOS-B"/>
      <sheetName val="Depto-B1"/>
      <sheetName val="Depto-B2"/>
      <sheetName val="Depto-B3"/>
      <sheetName val="Depto-B4"/>
      <sheetName val="Depto-B5"/>
      <sheetName val="Depto-B6"/>
      <sheetName val="Depto-B7"/>
      <sheetName val="Depto-B8"/>
      <sheetName val="PARAMENI-A"/>
      <sheetName val="GENAMENI-A"/>
      <sheetName val="GENAMENI-B"/>
      <sheetName val="P.U.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1">
          <cell r="J51">
            <v>1</v>
          </cell>
        </row>
      </sheetData>
      <sheetData sheetId="16">
        <row r="51">
          <cell r="J51">
            <v>1</v>
          </cell>
        </row>
      </sheetData>
      <sheetData sheetId="17">
        <row r="51">
          <cell r="J51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ctual enero 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oria"/>
      <sheetName val="Datos"/>
      <sheetName val="Password"/>
      <sheetName val="UNOS"/>
      <sheetName val="RESUMENES"/>
      <sheetName val="COMPLEMENTO"/>
      <sheetName val="STATUS"/>
      <sheetName val="ETAPAS"/>
      <sheetName val="CONTABILIDAD1"/>
      <sheetName val="Urbanizacion"/>
      <sheetName val="Infraestructura"/>
      <sheetName val="Equipamiento"/>
      <sheetName val="Preliminares"/>
    </sheetNames>
    <sheetDataSet>
      <sheetData sheetId="0" refreshError="1"/>
      <sheetData sheetId="1" refreshError="1">
        <row r="3">
          <cell r="D3" t="str">
            <v>UN 6X28-3R-2N-109.4VL</v>
          </cell>
        </row>
        <row r="4">
          <cell r="D4" t="str">
            <v>UN 6X28-3R-2N-107.7VL</v>
          </cell>
        </row>
        <row r="5">
          <cell r="D5" t="str">
            <v>UN 6X28-3R-2N-107.9VL</v>
          </cell>
        </row>
        <row r="6">
          <cell r="D6" t="str">
            <v>UN 8X28-3R-3N-144.8VL</v>
          </cell>
        </row>
        <row r="7">
          <cell r="D7" t="str">
            <v>UN 8X28-3R-3N-143.4VL</v>
          </cell>
        </row>
        <row r="8">
          <cell r="D8" t="str">
            <v>UN 8X28-3R-3N-141.6VL</v>
          </cell>
        </row>
        <row r="9">
          <cell r="D9" t="str">
            <v>UN 8X28-3R-2N-159.3VL</v>
          </cell>
        </row>
        <row r="10">
          <cell r="D10" t="str">
            <v>UN 8X28-3R-2N-157.7VL</v>
          </cell>
        </row>
        <row r="11">
          <cell r="D11" t="str">
            <v>SIN PROTOTIVL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_01"/>
      <sheetName val="Indice"/>
      <sheetName val="Presupuesto Base"/>
      <sheetName val="Control Presupuestal"/>
      <sheetName val="Proyectados "/>
      <sheetName val="Programa de Erogaciones "/>
      <sheetName val="Proyectados Comercial"/>
      <sheetName val="CP Comercial "/>
      <sheetName val="CC Comercial"/>
      <sheetName val="Erogaciones Comercial"/>
      <sheetName val="Contratos Comercial"/>
      <sheetName val="OC Comercial"/>
      <sheetName val="Proyectados Residencial"/>
      <sheetName val="CP Residencial"/>
      <sheetName val="CC Residencial"/>
      <sheetName val="Erogaciones Residencial"/>
      <sheetName val="Contratos Residencial"/>
      <sheetName val="OC Residencial"/>
      <sheetName val="Grafica de Egresos Mensuales "/>
      <sheetName val="Grafica de Egresos Acumulados "/>
      <sheetName val="Grafica Avance Fisico"/>
      <sheetName val="Avance de Construccion"/>
      <sheetName val="OC de presupuesto"/>
      <sheetName val="showroom"/>
      <sheetName val="Control de cambios a presupuest"/>
      <sheetName val="autorización ago-nov 2011"/>
      <sheetName val="formato autorizacion HISTORICO"/>
      <sheetName val="autorizacion de aditivas"/>
      <sheetName val="adelantos historicos hasta 201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o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ctual enero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B0ED-7DE3-4260-8EE9-364CA9DB91F9}">
  <dimension ref="B5:AL39"/>
  <sheetViews>
    <sheetView showGridLines="0" tabSelected="1" zoomScale="80" zoomScaleNormal="80" workbookViewId="0"/>
  </sheetViews>
  <sheetFormatPr defaultColWidth="8.83203125" defaultRowHeight="15.5" outlineLevelCol="1"/>
  <cols>
    <col min="1" max="1" width="3.1640625" customWidth="1"/>
    <col min="2" max="5" width="18.1640625" customWidth="1"/>
    <col min="6" max="6" width="14.1640625" customWidth="1"/>
    <col min="7" max="10" width="14.1640625" customWidth="1" outlineLevel="1"/>
    <col min="11" max="11" width="16.6640625" customWidth="1" outlineLevel="1"/>
    <col min="12" max="13" width="16.6640625" customWidth="1"/>
    <col min="21" max="21" width="8.9140625" bestFit="1" customWidth="1"/>
    <col min="22" max="22" width="10.08203125" bestFit="1" customWidth="1"/>
    <col min="32" max="32" width="9.08203125" bestFit="1" customWidth="1"/>
  </cols>
  <sheetData>
    <row r="5" spans="2:38">
      <c r="B5" s="1" t="s">
        <v>53</v>
      </c>
      <c r="C5" s="1"/>
      <c r="D5" s="1"/>
    </row>
    <row r="7" spans="2:38">
      <c r="B7" s="2" t="s">
        <v>2</v>
      </c>
      <c r="C7" s="2"/>
      <c r="F7" s="8"/>
      <c r="G7" s="8"/>
      <c r="H7" s="8"/>
      <c r="I7" s="8"/>
      <c r="J7" s="8"/>
      <c r="K7" s="8"/>
    </row>
    <row r="8" spans="2:38" ht="5" customHeight="1"/>
    <row r="9" spans="2:38">
      <c r="B9" s="3" t="s">
        <v>3</v>
      </c>
      <c r="C9" s="3" t="s">
        <v>4</v>
      </c>
      <c r="D9" s="3" t="s">
        <v>0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3" t="s">
        <v>12</v>
      </c>
      <c r="M9" s="3" t="s">
        <v>13</v>
      </c>
    </row>
    <row r="10" spans="2:38">
      <c r="B10" s="4" t="s">
        <v>14</v>
      </c>
      <c r="C10" s="4">
        <v>5</v>
      </c>
      <c r="D10" s="4" t="s">
        <v>54</v>
      </c>
      <c r="E10" s="4" t="s">
        <v>15</v>
      </c>
      <c r="F10" s="4">
        <v>540.79</v>
      </c>
      <c r="G10" s="4">
        <v>292.81</v>
      </c>
      <c r="H10" s="4">
        <v>58.73</v>
      </c>
      <c r="I10" s="4">
        <v>182.85</v>
      </c>
      <c r="J10" s="4">
        <v>0</v>
      </c>
      <c r="K10" s="4">
        <v>6.4</v>
      </c>
      <c r="L10" s="5">
        <v>8500</v>
      </c>
      <c r="M10" s="5">
        <f t="shared" ref="M10:M37" si="0">F10*L10</f>
        <v>4596715</v>
      </c>
      <c r="O10" s="9"/>
      <c r="P10" s="9"/>
      <c r="Q10" s="9"/>
      <c r="R10" s="9"/>
      <c r="S10" s="9"/>
      <c r="T10" s="10"/>
      <c r="U10" s="10"/>
      <c r="V10" s="10"/>
      <c r="W10" s="9"/>
      <c r="X10" s="10"/>
      <c r="Y10" s="9"/>
      <c r="Z10" s="10"/>
      <c r="AA10" s="9"/>
      <c r="AB10" s="10"/>
      <c r="AC10" s="9"/>
      <c r="AD10" s="10"/>
      <c r="AE10" s="9"/>
      <c r="AF10" s="11"/>
      <c r="AG10" s="9"/>
      <c r="AH10" s="9"/>
      <c r="AI10" s="9"/>
      <c r="AJ10" s="9"/>
      <c r="AK10" s="9"/>
      <c r="AL10" s="9"/>
    </row>
    <row r="11" spans="2:38">
      <c r="B11" s="4" t="s">
        <v>16</v>
      </c>
      <c r="C11" s="4">
        <v>5</v>
      </c>
      <c r="D11" s="4" t="s">
        <v>54</v>
      </c>
      <c r="E11" s="4" t="s">
        <v>17</v>
      </c>
      <c r="F11" s="4">
        <v>527.83000000000004</v>
      </c>
      <c r="G11" s="4">
        <v>297.94</v>
      </c>
      <c r="H11" s="4">
        <v>61.36</v>
      </c>
      <c r="I11" s="4">
        <v>162.13</v>
      </c>
      <c r="J11" s="4">
        <v>0</v>
      </c>
      <c r="K11" s="4">
        <v>6.4</v>
      </c>
      <c r="L11" s="5">
        <v>8500</v>
      </c>
      <c r="M11" s="5">
        <f t="shared" si="0"/>
        <v>4486555</v>
      </c>
      <c r="O11" s="9"/>
      <c r="P11" s="9"/>
      <c r="Q11" s="9"/>
      <c r="R11" s="9"/>
      <c r="S11" s="9"/>
      <c r="T11" s="10"/>
      <c r="U11" s="10"/>
      <c r="V11" s="10"/>
      <c r="W11" s="9"/>
      <c r="X11" s="10"/>
      <c r="Y11" s="9"/>
      <c r="Z11" s="10"/>
      <c r="AA11" s="9"/>
      <c r="AB11" s="10"/>
      <c r="AC11" s="9"/>
      <c r="AD11" s="10"/>
      <c r="AE11" s="9"/>
      <c r="AF11" s="11"/>
      <c r="AG11" s="9"/>
      <c r="AH11" s="9"/>
      <c r="AI11" s="9"/>
      <c r="AJ11" s="9"/>
      <c r="AK11" s="9"/>
      <c r="AL11" s="9"/>
    </row>
    <row r="12" spans="2:38">
      <c r="B12" s="4" t="s">
        <v>18</v>
      </c>
      <c r="C12" s="4">
        <v>5</v>
      </c>
      <c r="D12" s="4" t="s">
        <v>54</v>
      </c>
      <c r="E12" s="4" t="s">
        <v>17</v>
      </c>
      <c r="F12" s="4">
        <v>527.83000000000004</v>
      </c>
      <c r="G12" s="4">
        <v>297.94</v>
      </c>
      <c r="H12" s="4">
        <v>61.36</v>
      </c>
      <c r="I12" s="4">
        <v>162.13</v>
      </c>
      <c r="J12" s="4">
        <v>0</v>
      </c>
      <c r="K12" s="4">
        <v>6.4</v>
      </c>
      <c r="L12" s="5">
        <v>8500</v>
      </c>
      <c r="M12" s="5">
        <f t="shared" si="0"/>
        <v>4486555</v>
      </c>
      <c r="O12" s="9"/>
      <c r="P12" s="9"/>
      <c r="Q12" s="9"/>
      <c r="R12" s="9"/>
      <c r="S12" s="9"/>
      <c r="T12" s="10"/>
      <c r="U12" s="10"/>
      <c r="V12" s="10"/>
      <c r="W12" s="9"/>
      <c r="X12" s="10"/>
      <c r="Y12" s="9"/>
      <c r="Z12" s="10"/>
      <c r="AA12" s="9"/>
      <c r="AB12" s="10"/>
      <c r="AC12" s="9"/>
      <c r="AD12" s="10"/>
      <c r="AE12" s="9"/>
      <c r="AF12" s="11"/>
      <c r="AG12" s="9"/>
      <c r="AH12" s="9"/>
      <c r="AI12" s="9"/>
      <c r="AJ12" s="9"/>
      <c r="AK12" s="9"/>
      <c r="AL12" s="9"/>
    </row>
    <row r="13" spans="2:38">
      <c r="B13" s="4" t="s">
        <v>19</v>
      </c>
      <c r="C13" s="4">
        <v>5</v>
      </c>
      <c r="D13" s="4" t="s">
        <v>54</v>
      </c>
      <c r="E13" s="4" t="s">
        <v>15</v>
      </c>
      <c r="F13" s="4">
        <v>540.79</v>
      </c>
      <c r="G13" s="4">
        <v>292.81</v>
      </c>
      <c r="H13" s="4">
        <v>58.73</v>
      </c>
      <c r="I13" s="4">
        <v>182.85</v>
      </c>
      <c r="J13" s="4">
        <v>0</v>
      </c>
      <c r="K13" s="4">
        <v>6.4</v>
      </c>
      <c r="L13" s="5">
        <v>8500</v>
      </c>
      <c r="M13" s="5">
        <f t="shared" si="0"/>
        <v>4596715</v>
      </c>
      <c r="O13" s="9"/>
      <c r="P13" s="9"/>
      <c r="Q13" s="9"/>
      <c r="R13" s="9"/>
      <c r="S13" s="9"/>
      <c r="T13" s="10"/>
      <c r="U13" s="10"/>
      <c r="V13" s="10"/>
      <c r="W13" s="9"/>
      <c r="X13" s="10"/>
      <c r="Y13" s="9"/>
      <c r="Z13" s="10"/>
      <c r="AA13" s="9"/>
      <c r="AB13" s="10"/>
      <c r="AC13" s="9"/>
      <c r="AD13" s="10"/>
      <c r="AE13" s="9"/>
      <c r="AF13" s="11"/>
      <c r="AG13" s="9"/>
      <c r="AH13" s="9"/>
      <c r="AI13" s="9"/>
      <c r="AJ13" s="9"/>
      <c r="AK13" s="9"/>
      <c r="AL13" s="9"/>
    </row>
    <row r="14" spans="2:38">
      <c r="B14" s="4" t="s">
        <v>20</v>
      </c>
      <c r="C14" s="4">
        <v>4</v>
      </c>
      <c r="D14" s="4" t="s">
        <v>55</v>
      </c>
      <c r="E14" s="4" t="s">
        <v>21</v>
      </c>
      <c r="F14" s="12">
        <v>297.79999999999995</v>
      </c>
      <c r="G14" s="4">
        <v>232.67</v>
      </c>
      <c r="H14" s="4">
        <v>58.73</v>
      </c>
      <c r="I14" s="4">
        <v>0</v>
      </c>
      <c r="J14" s="4">
        <v>0</v>
      </c>
      <c r="K14" s="4">
        <v>6.4</v>
      </c>
      <c r="L14" s="5">
        <v>8500</v>
      </c>
      <c r="M14" s="5">
        <f t="shared" si="0"/>
        <v>2531299.9999999995</v>
      </c>
      <c r="O14" s="9"/>
      <c r="P14" s="9"/>
      <c r="Q14" s="9"/>
      <c r="R14" s="9"/>
      <c r="S14" s="9"/>
      <c r="T14" s="10"/>
      <c r="U14" s="10"/>
      <c r="V14" s="10"/>
      <c r="W14" s="9"/>
      <c r="X14" s="10"/>
      <c r="Y14" s="9"/>
      <c r="Z14" s="10"/>
      <c r="AA14" s="9"/>
      <c r="AB14" s="10"/>
      <c r="AC14" s="9"/>
      <c r="AD14" s="10"/>
      <c r="AE14" s="9"/>
      <c r="AF14" s="11"/>
      <c r="AG14" s="9"/>
      <c r="AH14" s="9"/>
      <c r="AI14" s="9"/>
      <c r="AJ14" s="9"/>
      <c r="AK14" s="9"/>
      <c r="AL14" s="9"/>
    </row>
    <row r="15" spans="2:38">
      <c r="B15" s="4" t="s">
        <v>22</v>
      </c>
      <c r="C15" s="4">
        <v>4</v>
      </c>
      <c r="D15" s="4" t="s">
        <v>56</v>
      </c>
      <c r="E15" s="4" t="s">
        <v>23</v>
      </c>
      <c r="F15" s="4">
        <v>194.13</v>
      </c>
      <c r="G15" s="4">
        <v>150.91999999999999</v>
      </c>
      <c r="H15" s="4">
        <v>36.81</v>
      </c>
      <c r="I15" s="4">
        <v>0</v>
      </c>
      <c r="J15" s="4">
        <v>0</v>
      </c>
      <c r="K15" s="4">
        <v>6.4</v>
      </c>
      <c r="L15" s="5">
        <v>8500</v>
      </c>
      <c r="M15" s="5">
        <f t="shared" si="0"/>
        <v>1650105</v>
      </c>
      <c r="O15" s="9"/>
      <c r="P15" s="9"/>
      <c r="Q15" s="9"/>
      <c r="R15" s="9"/>
      <c r="S15" s="9"/>
      <c r="T15" s="10"/>
      <c r="U15" s="10"/>
      <c r="V15" s="10"/>
      <c r="W15" s="9"/>
      <c r="X15" s="10"/>
      <c r="Y15" s="9"/>
      <c r="Z15" s="10"/>
      <c r="AA15" s="9"/>
      <c r="AB15" s="10"/>
      <c r="AC15" s="9"/>
      <c r="AD15" s="10"/>
      <c r="AE15" s="9"/>
      <c r="AF15" s="11"/>
      <c r="AG15" s="9"/>
      <c r="AH15" s="9"/>
      <c r="AI15" s="9"/>
      <c r="AJ15" s="9"/>
      <c r="AK15" s="9"/>
      <c r="AL15" s="9"/>
    </row>
    <row r="16" spans="2:38">
      <c r="B16" s="4" t="s">
        <v>24</v>
      </c>
      <c r="C16" s="4">
        <v>4</v>
      </c>
      <c r="D16" s="4" t="s">
        <v>54</v>
      </c>
      <c r="E16" s="4" t="s">
        <v>25</v>
      </c>
      <c r="F16" s="4">
        <v>111.37</v>
      </c>
      <c r="G16" s="4">
        <v>87.02</v>
      </c>
      <c r="H16" s="4">
        <v>17.95</v>
      </c>
      <c r="I16" s="4">
        <v>0</v>
      </c>
      <c r="J16" s="4">
        <v>0</v>
      </c>
      <c r="K16" s="4">
        <v>6.4</v>
      </c>
      <c r="L16" s="5">
        <v>8500</v>
      </c>
      <c r="M16" s="5">
        <f>F16*L16</f>
        <v>946645</v>
      </c>
      <c r="O16" s="9"/>
      <c r="P16" s="9"/>
      <c r="Q16" s="9"/>
      <c r="R16" s="9"/>
      <c r="S16" s="9"/>
      <c r="T16" s="10"/>
      <c r="U16" s="10"/>
      <c r="V16" s="10"/>
      <c r="W16" s="9"/>
      <c r="X16" s="10"/>
      <c r="Y16" s="9"/>
      <c r="Z16" s="10"/>
      <c r="AA16" s="9"/>
      <c r="AB16" s="10"/>
      <c r="AC16" s="9"/>
      <c r="AD16" s="10"/>
      <c r="AE16" s="9"/>
      <c r="AF16" s="11"/>
      <c r="AG16" s="9"/>
      <c r="AH16" s="9"/>
      <c r="AI16" s="9"/>
      <c r="AJ16" s="9"/>
      <c r="AK16" s="9"/>
      <c r="AL16" s="9"/>
    </row>
    <row r="17" spans="2:38">
      <c r="B17" s="4" t="s">
        <v>26</v>
      </c>
      <c r="C17" s="4">
        <v>4</v>
      </c>
      <c r="D17" s="4" t="s">
        <v>54</v>
      </c>
      <c r="E17" s="4" t="s">
        <v>25</v>
      </c>
      <c r="F17" s="4">
        <v>111.37</v>
      </c>
      <c r="G17" s="4">
        <v>87.02</v>
      </c>
      <c r="H17" s="4">
        <v>17.95</v>
      </c>
      <c r="I17" s="4">
        <v>0</v>
      </c>
      <c r="J17" s="4">
        <v>0</v>
      </c>
      <c r="K17" s="4">
        <v>6.4</v>
      </c>
      <c r="L17" s="5">
        <v>8500</v>
      </c>
      <c r="M17" s="5">
        <f>F17*L17</f>
        <v>946645</v>
      </c>
      <c r="O17" s="9"/>
      <c r="P17" s="9"/>
      <c r="Q17" s="9"/>
      <c r="R17" s="9"/>
      <c r="S17" s="9"/>
      <c r="T17" s="10"/>
      <c r="U17" s="10"/>
      <c r="V17" s="10"/>
      <c r="W17" s="9"/>
      <c r="X17" s="10"/>
      <c r="Y17" s="9"/>
      <c r="Z17" s="10"/>
      <c r="AA17" s="9"/>
      <c r="AB17" s="10"/>
      <c r="AC17" s="9"/>
      <c r="AD17" s="10"/>
      <c r="AE17" s="9"/>
      <c r="AF17" s="11"/>
      <c r="AG17" s="9"/>
      <c r="AH17" s="9"/>
      <c r="AI17" s="9"/>
      <c r="AJ17" s="9"/>
      <c r="AK17" s="9"/>
      <c r="AL17" s="9"/>
    </row>
    <row r="18" spans="2:38">
      <c r="B18" s="4" t="s">
        <v>27</v>
      </c>
      <c r="C18" s="4">
        <v>4</v>
      </c>
      <c r="D18" s="4" t="s">
        <v>54</v>
      </c>
      <c r="E18" s="4" t="s">
        <v>23</v>
      </c>
      <c r="F18" s="4">
        <v>194.13</v>
      </c>
      <c r="G18" s="4">
        <v>150.91999999999999</v>
      </c>
      <c r="H18" s="4">
        <v>36.81</v>
      </c>
      <c r="I18" s="4">
        <v>0</v>
      </c>
      <c r="J18" s="4">
        <v>0</v>
      </c>
      <c r="K18" s="4">
        <v>6.4</v>
      </c>
      <c r="L18" s="5">
        <v>8500</v>
      </c>
      <c r="M18" s="5">
        <f t="shared" si="0"/>
        <v>1650105</v>
      </c>
      <c r="O18" s="9"/>
      <c r="P18" s="9"/>
      <c r="Q18" s="9"/>
      <c r="R18" s="9"/>
      <c r="S18" s="9"/>
      <c r="T18" s="10"/>
      <c r="U18" s="10"/>
      <c r="V18" s="10"/>
      <c r="W18" s="9"/>
      <c r="X18" s="10"/>
      <c r="Y18" s="9"/>
      <c r="Z18" s="10"/>
      <c r="AA18" s="9"/>
      <c r="AB18" s="10"/>
      <c r="AC18" s="9"/>
      <c r="AD18" s="10"/>
      <c r="AE18" s="9"/>
      <c r="AF18" s="11"/>
      <c r="AG18" s="9"/>
      <c r="AH18" s="9"/>
      <c r="AI18" s="9"/>
      <c r="AJ18" s="9"/>
      <c r="AK18" s="9"/>
      <c r="AL18" s="9"/>
    </row>
    <row r="19" spans="2:38">
      <c r="B19" s="4" t="s">
        <v>28</v>
      </c>
      <c r="C19" s="4">
        <v>4</v>
      </c>
      <c r="D19" s="4" t="s">
        <v>55</v>
      </c>
      <c r="E19" s="4" t="s">
        <v>29</v>
      </c>
      <c r="F19" s="4">
        <v>257.31</v>
      </c>
      <c r="G19" s="4">
        <v>192.1</v>
      </c>
      <c r="H19" s="4">
        <v>58.81</v>
      </c>
      <c r="I19" s="4">
        <v>0</v>
      </c>
      <c r="J19" s="4">
        <v>0</v>
      </c>
      <c r="K19" s="4">
        <v>6.4</v>
      </c>
      <c r="L19" s="5">
        <v>8500</v>
      </c>
      <c r="M19" s="5">
        <f t="shared" si="0"/>
        <v>2187135</v>
      </c>
      <c r="O19" s="9"/>
      <c r="P19" s="9"/>
      <c r="Q19" s="9"/>
      <c r="R19" s="9"/>
      <c r="S19" s="9"/>
      <c r="T19" s="10"/>
      <c r="U19" s="10"/>
      <c r="V19" s="10"/>
      <c r="W19" s="9"/>
      <c r="X19" s="10"/>
      <c r="Y19" s="9"/>
      <c r="Z19" s="10"/>
      <c r="AA19" s="9"/>
      <c r="AB19" s="10"/>
      <c r="AC19" s="9"/>
      <c r="AD19" s="10"/>
      <c r="AE19" s="9"/>
      <c r="AF19" s="11"/>
      <c r="AG19" s="9"/>
      <c r="AH19" s="9"/>
      <c r="AI19" s="9"/>
      <c r="AJ19" s="9"/>
      <c r="AK19" s="9"/>
      <c r="AL19" s="9"/>
    </row>
    <row r="20" spans="2:38">
      <c r="B20" s="4" t="s">
        <v>30</v>
      </c>
      <c r="C20" s="4">
        <v>3</v>
      </c>
      <c r="D20" s="4" t="s">
        <v>54</v>
      </c>
      <c r="E20" s="4" t="s">
        <v>31</v>
      </c>
      <c r="F20" s="12">
        <v>297.79999999999995</v>
      </c>
      <c r="G20" s="4">
        <v>232.67</v>
      </c>
      <c r="H20" s="4">
        <v>58.73</v>
      </c>
      <c r="I20" s="4">
        <v>0</v>
      </c>
      <c r="J20" s="4">
        <v>0</v>
      </c>
      <c r="K20" s="4">
        <v>6.4</v>
      </c>
      <c r="L20" s="5">
        <v>8500</v>
      </c>
      <c r="M20" s="5">
        <f t="shared" si="0"/>
        <v>2531299.9999999995</v>
      </c>
      <c r="O20" s="9"/>
      <c r="P20" s="9"/>
      <c r="Q20" s="9"/>
      <c r="R20" s="9"/>
      <c r="S20" s="9"/>
      <c r="T20" s="10"/>
      <c r="U20" s="10"/>
      <c r="V20" s="10"/>
      <c r="W20" s="9"/>
      <c r="X20" s="10"/>
      <c r="Y20" s="9"/>
      <c r="Z20" s="10"/>
      <c r="AA20" s="9"/>
      <c r="AB20" s="10"/>
      <c r="AC20" s="9"/>
      <c r="AD20" s="10"/>
      <c r="AE20" s="9"/>
      <c r="AF20" s="11"/>
      <c r="AG20" s="9"/>
      <c r="AH20" s="9"/>
      <c r="AI20" s="9"/>
      <c r="AJ20" s="9"/>
      <c r="AK20" s="9"/>
      <c r="AL20" s="9"/>
    </row>
    <row r="21" spans="2:38">
      <c r="B21" s="4" t="s">
        <v>32</v>
      </c>
      <c r="C21" s="4">
        <v>3</v>
      </c>
      <c r="D21" s="4" t="s">
        <v>56</v>
      </c>
      <c r="E21" s="4" t="s">
        <v>23</v>
      </c>
      <c r="F21" s="4">
        <v>194.13</v>
      </c>
      <c r="G21" s="4">
        <v>150.91999999999999</v>
      </c>
      <c r="H21" s="4">
        <v>36.81</v>
      </c>
      <c r="I21" s="4">
        <v>0</v>
      </c>
      <c r="J21" s="4">
        <v>0</v>
      </c>
      <c r="K21" s="4">
        <v>6.4</v>
      </c>
      <c r="L21" s="5">
        <v>8500</v>
      </c>
      <c r="M21" s="5">
        <f t="shared" si="0"/>
        <v>1650105</v>
      </c>
      <c r="O21" s="9"/>
      <c r="P21" s="9"/>
      <c r="Q21" s="9"/>
      <c r="R21" s="9"/>
      <c r="S21" s="9"/>
      <c r="T21" s="10"/>
      <c r="U21" s="10"/>
      <c r="V21" s="10"/>
      <c r="W21" s="9"/>
      <c r="X21" s="10"/>
      <c r="Y21" s="9"/>
      <c r="Z21" s="10"/>
      <c r="AA21" s="9"/>
      <c r="AB21" s="10"/>
      <c r="AC21" s="9"/>
      <c r="AD21" s="10"/>
      <c r="AE21" s="9"/>
      <c r="AF21" s="11"/>
      <c r="AG21" s="9"/>
      <c r="AH21" s="9"/>
      <c r="AI21" s="9"/>
      <c r="AJ21" s="9"/>
      <c r="AK21" s="9"/>
      <c r="AL21" s="9"/>
    </row>
    <row r="22" spans="2:38">
      <c r="B22" s="4" t="s">
        <v>33</v>
      </c>
      <c r="C22" s="4">
        <v>3</v>
      </c>
      <c r="D22" s="4" t="s">
        <v>54</v>
      </c>
      <c r="E22" s="4" t="s">
        <v>25</v>
      </c>
      <c r="F22" s="4">
        <v>111.37</v>
      </c>
      <c r="G22" s="4">
        <v>87.02</v>
      </c>
      <c r="H22" s="4">
        <v>17.95</v>
      </c>
      <c r="I22" s="4">
        <v>0</v>
      </c>
      <c r="J22" s="4">
        <v>0</v>
      </c>
      <c r="K22" s="4">
        <v>6.4</v>
      </c>
      <c r="L22" s="5">
        <v>8500</v>
      </c>
      <c r="M22" s="5">
        <f>F22*L22</f>
        <v>946645</v>
      </c>
      <c r="O22" s="9"/>
      <c r="P22" s="9"/>
      <c r="Q22" s="9"/>
      <c r="R22" s="9"/>
      <c r="S22" s="9"/>
      <c r="T22" s="10"/>
      <c r="U22" s="10"/>
      <c r="V22" s="10"/>
      <c r="W22" s="9"/>
      <c r="X22" s="10"/>
      <c r="Y22" s="9"/>
      <c r="Z22" s="10"/>
      <c r="AA22" s="9"/>
      <c r="AB22" s="10"/>
      <c r="AC22" s="9"/>
      <c r="AD22" s="10"/>
      <c r="AE22" s="9"/>
      <c r="AF22" s="11"/>
      <c r="AG22" s="9"/>
      <c r="AH22" s="9"/>
      <c r="AI22" s="9"/>
      <c r="AJ22" s="9"/>
      <c r="AK22" s="9"/>
      <c r="AL22" s="9"/>
    </row>
    <row r="23" spans="2:38">
      <c r="B23" s="4" t="s">
        <v>34</v>
      </c>
      <c r="C23" s="4">
        <v>3</v>
      </c>
      <c r="D23" s="4" t="s">
        <v>54</v>
      </c>
      <c r="E23" s="4" t="s">
        <v>25</v>
      </c>
      <c r="F23" s="4">
        <v>111.37</v>
      </c>
      <c r="G23" s="4">
        <v>150.91999999999999</v>
      </c>
      <c r="H23" s="4">
        <v>36.81</v>
      </c>
      <c r="I23" s="4">
        <v>0</v>
      </c>
      <c r="J23" s="4">
        <v>0</v>
      </c>
      <c r="K23" s="4">
        <v>6.4</v>
      </c>
      <c r="L23" s="5">
        <v>8500</v>
      </c>
      <c r="M23" s="5">
        <f>F23*L23</f>
        <v>946645</v>
      </c>
      <c r="O23" s="9"/>
      <c r="P23" s="9"/>
      <c r="Q23" s="9"/>
      <c r="R23" s="9"/>
      <c r="S23" s="9"/>
      <c r="T23" s="10"/>
      <c r="U23" s="10"/>
      <c r="V23" s="10"/>
      <c r="W23" s="9"/>
      <c r="X23" s="10"/>
      <c r="Y23" s="9"/>
      <c r="Z23" s="10"/>
      <c r="AA23" s="9"/>
      <c r="AB23" s="10"/>
      <c r="AC23" s="9"/>
      <c r="AD23" s="10"/>
      <c r="AE23" s="9"/>
      <c r="AF23" s="11"/>
      <c r="AG23" s="9"/>
      <c r="AH23" s="9"/>
      <c r="AI23" s="9"/>
      <c r="AJ23" s="9"/>
      <c r="AK23" s="9"/>
      <c r="AL23" s="9"/>
    </row>
    <row r="24" spans="2:38">
      <c r="B24" s="4" t="s">
        <v>35</v>
      </c>
      <c r="C24" s="4">
        <v>3</v>
      </c>
      <c r="D24" s="4" t="s">
        <v>54</v>
      </c>
      <c r="E24" s="4" t="s">
        <v>23</v>
      </c>
      <c r="F24" s="4">
        <v>194.13</v>
      </c>
      <c r="G24" s="4">
        <v>150.91999999999999</v>
      </c>
      <c r="H24" s="4">
        <v>36.81</v>
      </c>
      <c r="I24" s="4">
        <v>0</v>
      </c>
      <c r="J24" s="4">
        <v>0</v>
      </c>
      <c r="K24" s="4">
        <v>6.4</v>
      </c>
      <c r="L24" s="5">
        <v>8500</v>
      </c>
      <c r="M24" s="5">
        <f t="shared" si="0"/>
        <v>1650105</v>
      </c>
      <c r="O24" s="9"/>
      <c r="P24" s="9"/>
      <c r="Q24" s="9"/>
      <c r="R24" s="9"/>
      <c r="S24" s="9"/>
      <c r="T24" s="10"/>
      <c r="U24" s="10"/>
      <c r="V24" s="10"/>
      <c r="W24" s="9"/>
      <c r="X24" s="10"/>
      <c r="Y24" s="9"/>
      <c r="Z24" s="10"/>
      <c r="AA24" s="9"/>
      <c r="AB24" s="10"/>
      <c r="AC24" s="9"/>
      <c r="AD24" s="10"/>
      <c r="AE24" s="9"/>
      <c r="AF24" s="11"/>
      <c r="AG24" s="9"/>
      <c r="AH24" s="9"/>
      <c r="AI24" s="9"/>
      <c r="AJ24" s="9"/>
      <c r="AK24" s="9"/>
      <c r="AL24" s="9"/>
    </row>
    <row r="25" spans="2:38">
      <c r="B25" s="4" t="s">
        <v>36</v>
      </c>
      <c r="C25" s="4">
        <v>3</v>
      </c>
      <c r="D25" s="4" t="s">
        <v>54</v>
      </c>
      <c r="E25" s="4" t="s">
        <v>29</v>
      </c>
      <c r="F25" s="4">
        <v>257.31</v>
      </c>
      <c r="G25" s="4">
        <v>192.1</v>
      </c>
      <c r="H25" s="4">
        <v>58.81</v>
      </c>
      <c r="I25" s="4">
        <v>0</v>
      </c>
      <c r="J25" s="4">
        <v>0</v>
      </c>
      <c r="K25" s="4">
        <v>6.4</v>
      </c>
      <c r="L25" s="5">
        <v>8500</v>
      </c>
      <c r="M25" s="5">
        <f t="shared" si="0"/>
        <v>2187135</v>
      </c>
      <c r="O25" s="9"/>
      <c r="P25" s="9"/>
      <c r="Q25" s="9"/>
      <c r="R25" s="9"/>
      <c r="S25" s="9"/>
      <c r="T25" s="10"/>
      <c r="U25" s="10"/>
      <c r="V25" s="10"/>
      <c r="W25" s="9"/>
      <c r="X25" s="10"/>
      <c r="Y25" s="9"/>
      <c r="Z25" s="10"/>
      <c r="AA25" s="9"/>
      <c r="AB25" s="10"/>
      <c r="AC25" s="9"/>
      <c r="AD25" s="10"/>
      <c r="AE25" s="9"/>
      <c r="AF25" s="11"/>
      <c r="AG25" s="9"/>
      <c r="AH25" s="9"/>
      <c r="AI25" s="9"/>
      <c r="AJ25" s="9"/>
      <c r="AK25" s="9"/>
      <c r="AL25" s="9"/>
    </row>
    <row r="26" spans="2:38">
      <c r="B26" s="4" t="s">
        <v>37</v>
      </c>
      <c r="C26" s="4">
        <v>2</v>
      </c>
      <c r="D26" s="4" t="s">
        <v>54</v>
      </c>
      <c r="E26" s="4" t="s">
        <v>31</v>
      </c>
      <c r="F26" s="4">
        <v>297.79999999999995</v>
      </c>
      <c r="G26" s="4">
        <v>232.67</v>
      </c>
      <c r="H26" s="4">
        <v>58.73</v>
      </c>
      <c r="I26" s="4">
        <v>0</v>
      </c>
      <c r="J26" s="4">
        <v>0</v>
      </c>
      <c r="K26" s="4">
        <v>6.4</v>
      </c>
      <c r="L26" s="5">
        <v>8500</v>
      </c>
      <c r="M26" s="5">
        <f t="shared" si="0"/>
        <v>2531299.9999999995</v>
      </c>
      <c r="O26" s="9"/>
      <c r="P26" s="9"/>
      <c r="Q26" s="9"/>
      <c r="R26" s="9"/>
      <c r="S26" s="9"/>
      <c r="T26" s="10"/>
      <c r="U26" s="10"/>
      <c r="V26" s="10"/>
      <c r="W26" s="9"/>
      <c r="X26" s="10"/>
      <c r="Y26" s="9"/>
      <c r="Z26" s="10"/>
      <c r="AA26" s="9"/>
      <c r="AB26" s="10"/>
      <c r="AC26" s="9"/>
      <c r="AD26" s="10"/>
      <c r="AE26" s="9"/>
      <c r="AF26" s="11"/>
      <c r="AG26" s="9"/>
      <c r="AH26" s="9"/>
      <c r="AI26" s="9"/>
      <c r="AJ26" s="9"/>
      <c r="AK26" s="9"/>
      <c r="AL26" s="9"/>
    </row>
    <row r="27" spans="2:38">
      <c r="B27" s="4" t="s">
        <v>38</v>
      </c>
      <c r="C27" s="4">
        <v>2</v>
      </c>
      <c r="D27" s="4" t="s">
        <v>54</v>
      </c>
      <c r="E27" s="4" t="s">
        <v>23</v>
      </c>
      <c r="F27" s="4">
        <v>194.13</v>
      </c>
      <c r="G27" s="4">
        <v>150.91999999999999</v>
      </c>
      <c r="H27" s="4">
        <v>36.81</v>
      </c>
      <c r="I27" s="4">
        <v>0</v>
      </c>
      <c r="J27" s="4">
        <v>0</v>
      </c>
      <c r="K27" s="4">
        <v>6.4</v>
      </c>
      <c r="L27" s="5">
        <v>8500</v>
      </c>
      <c r="M27" s="5">
        <f t="shared" si="0"/>
        <v>1650105</v>
      </c>
      <c r="O27" s="9"/>
      <c r="P27" s="9"/>
      <c r="Q27" s="9"/>
      <c r="R27" s="9"/>
      <c r="S27" s="9"/>
      <c r="T27" s="10"/>
      <c r="U27" s="10"/>
      <c r="V27" s="10"/>
      <c r="W27" s="9"/>
      <c r="X27" s="10"/>
      <c r="Y27" s="9"/>
      <c r="Z27" s="10"/>
      <c r="AA27" s="9"/>
      <c r="AB27" s="10"/>
      <c r="AC27" s="9"/>
      <c r="AD27" s="10"/>
      <c r="AE27" s="9"/>
      <c r="AF27" s="11"/>
      <c r="AG27" s="9"/>
      <c r="AH27" s="9"/>
      <c r="AI27" s="9"/>
      <c r="AJ27" s="9"/>
      <c r="AK27" s="9"/>
      <c r="AL27" s="9"/>
    </row>
    <row r="28" spans="2:38">
      <c r="B28" s="4" t="s">
        <v>39</v>
      </c>
      <c r="C28" s="4">
        <v>2</v>
      </c>
      <c r="D28" s="4" t="s">
        <v>54</v>
      </c>
      <c r="E28" s="4" t="s">
        <v>25</v>
      </c>
      <c r="F28" s="4">
        <v>111.37</v>
      </c>
      <c r="G28" s="4">
        <v>87.02</v>
      </c>
      <c r="H28" s="4">
        <v>17.95</v>
      </c>
      <c r="I28" s="4">
        <v>0</v>
      </c>
      <c r="J28" s="4">
        <v>0</v>
      </c>
      <c r="K28" s="4">
        <v>6.4</v>
      </c>
      <c r="L28" s="5">
        <v>8500</v>
      </c>
      <c r="M28" s="5">
        <f>F28*L28</f>
        <v>946645</v>
      </c>
      <c r="O28" s="9"/>
      <c r="P28" s="9"/>
      <c r="Q28" s="9"/>
      <c r="R28" s="9"/>
      <c r="S28" s="9"/>
      <c r="T28" s="10"/>
      <c r="U28" s="10"/>
      <c r="V28" s="10"/>
      <c r="W28" s="9"/>
      <c r="X28" s="10"/>
      <c r="Y28" s="9"/>
      <c r="Z28" s="10"/>
      <c r="AA28" s="9"/>
      <c r="AB28" s="10"/>
      <c r="AC28" s="9"/>
      <c r="AD28" s="10"/>
      <c r="AE28" s="9"/>
      <c r="AF28" s="11"/>
      <c r="AG28" s="9"/>
      <c r="AH28" s="9"/>
      <c r="AI28" s="9"/>
      <c r="AJ28" s="9"/>
      <c r="AK28" s="9"/>
      <c r="AL28" s="9"/>
    </row>
    <row r="29" spans="2:38">
      <c r="B29" s="4" t="s">
        <v>40</v>
      </c>
      <c r="C29" s="4">
        <v>2</v>
      </c>
      <c r="D29" s="4" t="s">
        <v>54</v>
      </c>
      <c r="E29" s="4" t="s">
        <v>25</v>
      </c>
      <c r="F29" s="4">
        <v>111.37</v>
      </c>
      <c r="G29" s="4">
        <v>87.02</v>
      </c>
      <c r="H29" s="4">
        <v>17.95</v>
      </c>
      <c r="I29" s="4">
        <v>0</v>
      </c>
      <c r="J29" s="4">
        <v>0</v>
      </c>
      <c r="K29" s="4">
        <v>6.4</v>
      </c>
      <c r="L29" s="5">
        <v>8500</v>
      </c>
      <c r="M29" s="5">
        <f>F29*L29</f>
        <v>946645</v>
      </c>
      <c r="O29" s="9"/>
      <c r="P29" s="9"/>
      <c r="Q29" s="9"/>
      <c r="R29" s="9"/>
      <c r="S29" s="9"/>
      <c r="T29" s="10"/>
      <c r="U29" s="10"/>
      <c r="V29" s="10"/>
      <c r="W29" s="9"/>
      <c r="X29" s="10"/>
      <c r="Y29" s="9"/>
      <c r="Z29" s="10"/>
      <c r="AA29" s="9"/>
      <c r="AB29" s="10"/>
      <c r="AC29" s="9"/>
      <c r="AD29" s="10"/>
      <c r="AE29" s="9"/>
      <c r="AF29" s="11"/>
      <c r="AG29" s="9"/>
      <c r="AH29" s="9"/>
      <c r="AI29" s="9"/>
      <c r="AJ29" s="9"/>
      <c r="AK29" s="9"/>
      <c r="AL29" s="9"/>
    </row>
    <row r="30" spans="2:38">
      <c r="B30" s="4" t="s">
        <v>41</v>
      </c>
      <c r="C30" s="4">
        <v>2</v>
      </c>
      <c r="D30" s="4" t="s">
        <v>54</v>
      </c>
      <c r="E30" s="4" t="s">
        <v>23</v>
      </c>
      <c r="F30" s="4">
        <v>194.13</v>
      </c>
      <c r="G30" s="4">
        <v>150.91999999999999</v>
      </c>
      <c r="H30" s="4">
        <v>36.81</v>
      </c>
      <c r="I30" s="4">
        <v>0</v>
      </c>
      <c r="J30" s="4">
        <v>0</v>
      </c>
      <c r="K30" s="4">
        <v>6.4</v>
      </c>
      <c r="L30" s="5">
        <v>8500</v>
      </c>
      <c r="M30" s="5">
        <f t="shared" si="0"/>
        <v>1650105</v>
      </c>
      <c r="O30" s="9"/>
      <c r="P30" s="9"/>
      <c r="Q30" s="9"/>
      <c r="R30" s="9"/>
      <c r="S30" s="9"/>
      <c r="T30" s="10"/>
      <c r="U30" s="10"/>
      <c r="V30" s="10"/>
      <c r="W30" s="9"/>
      <c r="X30" s="10"/>
      <c r="Y30" s="9"/>
      <c r="Z30" s="10"/>
      <c r="AA30" s="9"/>
      <c r="AB30" s="10"/>
      <c r="AC30" s="9"/>
      <c r="AD30" s="10"/>
      <c r="AE30" s="9"/>
      <c r="AF30" s="11"/>
      <c r="AG30" s="9"/>
      <c r="AH30" s="9"/>
      <c r="AI30" s="9"/>
      <c r="AJ30" s="9"/>
      <c r="AK30" s="9"/>
      <c r="AL30" s="9"/>
    </row>
    <row r="31" spans="2:38">
      <c r="B31" s="4" t="s">
        <v>42</v>
      </c>
      <c r="C31" s="4">
        <v>2</v>
      </c>
      <c r="D31" s="4" t="s">
        <v>54</v>
      </c>
      <c r="E31" s="4" t="s">
        <v>29</v>
      </c>
      <c r="F31" s="12">
        <v>257.31</v>
      </c>
      <c r="G31" s="12">
        <v>192.1</v>
      </c>
      <c r="H31" s="12">
        <v>58.81</v>
      </c>
      <c r="I31" s="4">
        <v>0</v>
      </c>
      <c r="J31" s="4">
        <v>0</v>
      </c>
      <c r="K31" s="4">
        <v>6.4</v>
      </c>
      <c r="L31" s="5">
        <v>8500</v>
      </c>
      <c r="M31" s="5">
        <f t="shared" si="0"/>
        <v>2187135</v>
      </c>
      <c r="O31" s="9"/>
      <c r="P31" s="9"/>
      <c r="Q31" s="9"/>
      <c r="R31" s="9"/>
      <c r="S31" s="9"/>
      <c r="T31" s="10"/>
      <c r="U31" s="10"/>
      <c r="V31" s="10"/>
      <c r="W31" s="9"/>
      <c r="X31" s="10"/>
      <c r="Y31" s="9"/>
      <c r="Z31" s="10"/>
      <c r="AA31" s="9"/>
      <c r="AB31" s="10"/>
      <c r="AC31" s="9"/>
      <c r="AD31" s="10"/>
      <c r="AE31" s="9"/>
      <c r="AF31" s="11"/>
      <c r="AG31" s="9"/>
      <c r="AH31" s="9"/>
      <c r="AI31" s="9"/>
      <c r="AJ31" s="9"/>
      <c r="AK31" s="9"/>
      <c r="AL31" s="9"/>
    </row>
    <row r="32" spans="2:38">
      <c r="B32" s="4" t="s">
        <v>43</v>
      </c>
      <c r="C32" s="4">
        <v>1</v>
      </c>
      <c r="D32" s="4" t="s">
        <v>54</v>
      </c>
      <c r="E32" s="4" t="s">
        <v>44</v>
      </c>
      <c r="F32" s="4">
        <v>341.9</v>
      </c>
      <c r="G32" s="4">
        <v>232.67</v>
      </c>
      <c r="H32" s="4">
        <v>58.73</v>
      </c>
      <c r="I32" s="4">
        <v>0</v>
      </c>
      <c r="J32" s="4">
        <v>44.1</v>
      </c>
      <c r="K32" s="4">
        <v>6.4</v>
      </c>
      <c r="L32" s="5">
        <v>8500</v>
      </c>
      <c r="M32" s="5">
        <f>F32*L32</f>
        <v>2906150</v>
      </c>
      <c r="O32" s="9"/>
      <c r="P32" s="9"/>
      <c r="Q32" s="9"/>
      <c r="R32" s="9"/>
      <c r="S32" s="9"/>
      <c r="T32" s="10"/>
      <c r="U32" s="10"/>
      <c r="V32" s="10"/>
      <c r="W32" s="9"/>
      <c r="X32" s="10"/>
      <c r="Y32" s="9"/>
      <c r="Z32" s="10"/>
      <c r="AA32" s="9"/>
      <c r="AB32" s="10"/>
      <c r="AC32" s="9"/>
      <c r="AD32" s="10"/>
      <c r="AE32" s="9"/>
      <c r="AF32" s="11"/>
      <c r="AG32" s="9"/>
      <c r="AH32" s="9"/>
      <c r="AI32" s="9"/>
      <c r="AJ32" s="9"/>
      <c r="AK32" s="9"/>
      <c r="AL32" s="9"/>
    </row>
    <row r="33" spans="2:38">
      <c r="B33" s="4" t="s">
        <v>45</v>
      </c>
      <c r="C33" s="4">
        <v>1</v>
      </c>
      <c r="D33" s="4" t="s">
        <v>54</v>
      </c>
      <c r="E33" s="4" t="s">
        <v>46</v>
      </c>
      <c r="F33" s="4">
        <v>234.82</v>
      </c>
      <c r="G33" s="4">
        <v>150.91999999999999</v>
      </c>
      <c r="H33" s="4">
        <v>36.81</v>
      </c>
      <c r="I33" s="4">
        <v>0</v>
      </c>
      <c r="J33" s="4">
        <v>40.69</v>
      </c>
      <c r="K33" s="4">
        <v>6.4</v>
      </c>
      <c r="L33" s="5">
        <v>8500</v>
      </c>
      <c r="M33" s="5">
        <f t="shared" si="0"/>
        <v>1995970</v>
      </c>
      <c r="O33" s="9"/>
      <c r="P33" s="9"/>
      <c r="Q33" s="9"/>
      <c r="R33" s="9"/>
      <c r="S33" s="9"/>
      <c r="T33" s="10"/>
      <c r="U33" s="10"/>
      <c r="V33" s="10"/>
      <c r="W33" s="9"/>
      <c r="X33" s="10"/>
      <c r="Y33" s="9"/>
      <c r="Z33" s="10"/>
      <c r="AA33" s="9"/>
      <c r="AB33" s="10"/>
      <c r="AC33" s="9"/>
      <c r="AD33" s="10"/>
      <c r="AE33" s="9"/>
      <c r="AF33" s="11"/>
      <c r="AG33" s="9"/>
      <c r="AH33" s="9"/>
      <c r="AI33" s="9"/>
      <c r="AJ33" s="9"/>
      <c r="AK33" s="9"/>
      <c r="AL33" s="9"/>
    </row>
    <row r="34" spans="2:38">
      <c r="B34" s="4" t="s">
        <v>47</v>
      </c>
      <c r="C34" s="4">
        <v>1</v>
      </c>
      <c r="D34" s="4" t="s">
        <v>54</v>
      </c>
      <c r="E34" s="4" t="s">
        <v>48</v>
      </c>
      <c r="F34" s="4">
        <v>134.28</v>
      </c>
      <c r="G34" s="4">
        <v>87.02</v>
      </c>
      <c r="H34" s="4">
        <v>17.95</v>
      </c>
      <c r="I34" s="4">
        <v>0</v>
      </c>
      <c r="J34" s="4">
        <v>22.91</v>
      </c>
      <c r="K34" s="4">
        <v>6.4</v>
      </c>
      <c r="L34" s="5">
        <v>8500</v>
      </c>
      <c r="M34" s="5">
        <f>F34*L34</f>
        <v>1141380</v>
      </c>
      <c r="O34" s="9"/>
      <c r="P34" s="9"/>
      <c r="Q34" s="9"/>
      <c r="R34" s="9"/>
      <c r="S34" s="9"/>
      <c r="T34" s="10"/>
      <c r="U34" s="10"/>
      <c r="V34" s="10"/>
      <c r="W34" s="9"/>
      <c r="X34" s="10"/>
      <c r="Y34" s="9"/>
      <c r="Z34" s="10"/>
      <c r="AA34" s="9"/>
      <c r="AB34" s="10"/>
      <c r="AC34" s="9"/>
      <c r="AD34" s="10"/>
      <c r="AE34" s="9"/>
      <c r="AF34" s="11"/>
      <c r="AG34" s="9"/>
      <c r="AH34" s="9"/>
      <c r="AI34" s="9"/>
      <c r="AJ34" s="9"/>
      <c r="AK34" s="9"/>
      <c r="AL34" s="9"/>
    </row>
    <row r="35" spans="2:38">
      <c r="B35" s="4" t="s">
        <v>49</v>
      </c>
      <c r="C35" s="4">
        <v>1</v>
      </c>
      <c r="D35" s="4" t="s">
        <v>54</v>
      </c>
      <c r="E35" s="4" t="s">
        <v>48</v>
      </c>
      <c r="F35" s="4">
        <v>134.28</v>
      </c>
      <c r="G35" s="4">
        <v>87.02</v>
      </c>
      <c r="H35" s="4">
        <v>17.95</v>
      </c>
      <c r="I35" s="4">
        <v>0</v>
      </c>
      <c r="J35" s="4">
        <v>22.91</v>
      </c>
      <c r="K35" s="4">
        <v>6.4</v>
      </c>
      <c r="L35" s="5">
        <v>8500</v>
      </c>
      <c r="M35" s="5">
        <f>F35*L35</f>
        <v>1141380</v>
      </c>
      <c r="O35" s="9"/>
      <c r="P35" s="9"/>
      <c r="Q35" s="9"/>
      <c r="R35" s="9"/>
      <c r="S35" s="9"/>
      <c r="T35" s="10"/>
      <c r="U35" s="10"/>
      <c r="V35" s="10"/>
      <c r="W35" s="9"/>
      <c r="X35" s="10"/>
      <c r="Y35" s="9"/>
      <c r="Z35" s="10"/>
      <c r="AA35" s="9"/>
      <c r="AB35" s="10"/>
      <c r="AC35" s="9"/>
      <c r="AD35" s="10"/>
      <c r="AE35" s="9"/>
      <c r="AF35" s="11"/>
      <c r="AG35" s="9"/>
      <c r="AH35" s="9"/>
      <c r="AI35" s="9"/>
      <c r="AJ35" s="9"/>
      <c r="AK35" s="9"/>
      <c r="AL35" s="9"/>
    </row>
    <row r="36" spans="2:38">
      <c r="B36" s="4" t="s">
        <v>50</v>
      </c>
      <c r="C36" s="4">
        <v>1</v>
      </c>
      <c r="D36" s="4" t="s">
        <v>54</v>
      </c>
      <c r="E36" s="4" t="s">
        <v>46</v>
      </c>
      <c r="F36" s="4">
        <v>234.82</v>
      </c>
      <c r="G36" s="4">
        <v>150.91999999999999</v>
      </c>
      <c r="H36" s="4">
        <v>36.81</v>
      </c>
      <c r="I36" s="4">
        <v>0</v>
      </c>
      <c r="J36" s="4">
        <v>40.69</v>
      </c>
      <c r="K36" s="4">
        <v>6.4</v>
      </c>
      <c r="L36" s="5">
        <v>8500</v>
      </c>
      <c r="M36" s="5">
        <f t="shared" si="0"/>
        <v>1995970</v>
      </c>
      <c r="O36" s="9"/>
      <c r="P36" s="9"/>
      <c r="Q36" s="9"/>
      <c r="R36" s="9"/>
      <c r="S36" s="9"/>
      <c r="T36" s="10"/>
      <c r="U36" s="10"/>
      <c r="V36" s="10"/>
      <c r="W36" s="9"/>
      <c r="X36" s="10"/>
      <c r="Y36" s="9"/>
      <c r="Z36" s="10"/>
      <c r="AA36" s="9"/>
      <c r="AB36" s="10"/>
      <c r="AC36" s="9"/>
      <c r="AD36" s="10"/>
      <c r="AE36" s="9"/>
      <c r="AF36" s="11"/>
      <c r="AG36" s="9"/>
      <c r="AH36" s="9"/>
      <c r="AI36" s="9"/>
      <c r="AJ36" s="9"/>
      <c r="AK36" s="9"/>
      <c r="AL36" s="9"/>
    </row>
    <row r="37" spans="2:38">
      <c r="B37" s="4" t="s">
        <v>51</v>
      </c>
      <c r="C37" s="4">
        <v>1</v>
      </c>
      <c r="D37" s="4" t="s">
        <v>54</v>
      </c>
      <c r="E37" s="4" t="s">
        <v>52</v>
      </c>
      <c r="F37" s="4">
        <v>315.85000000000002</v>
      </c>
      <c r="G37" s="4">
        <v>194.7</v>
      </c>
      <c r="H37" s="4">
        <v>70.650000000000006</v>
      </c>
      <c r="I37" s="4">
        <v>0</v>
      </c>
      <c r="J37" s="4">
        <v>44.1</v>
      </c>
      <c r="K37" s="4">
        <v>6.4</v>
      </c>
      <c r="L37" s="5">
        <v>8500</v>
      </c>
      <c r="M37" s="5">
        <f t="shared" si="0"/>
        <v>2684725</v>
      </c>
      <c r="O37" s="9"/>
      <c r="P37" s="9"/>
      <c r="Q37" s="9"/>
      <c r="R37" s="9"/>
      <c r="S37" s="9"/>
      <c r="T37" s="10"/>
      <c r="U37" s="10"/>
      <c r="V37" s="10"/>
      <c r="W37" s="9"/>
      <c r="X37" s="10"/>
      <c r="Y37" s="9"/>
      <c r="Z37" s="10"/>
      <c r="AA37" s="9"/>
      <c r="AB37" s="10"/>
      <c r="AC37" s="9"/>
      <c r="AD37" s="10"/>
      <c r="AE37" s="9"/>
      <c r="AF37" s="11"/>
      <c r="AG37" s="9"/>
      <c r="AH37" s="9"/>
      <c r="AI37" s="9"/>
      <c r="AJ37" s="9"/>
      <c r="AK37" s="9"/>
      <c r="AL37" s="9"/>
    </row>
    <row r="38" spans="2:38" ht="16" thickBot="1">
      <c r="B38" s="6" t="s">
        <v>1</v>
      </c>
      <c r="C38" s="6"/>
      <c r="D38" s="13"/>
      <c r="E38" s="13"/>
      <c r="F38" s="14">
        <f>SUM(F10:F37)</f>
        <v>7031.5199999999995</v>
      </c>
      <c r="G38" s="14">
        <f>SUM(G10:G37)</f>
        <v>4850.6000000000013</v>
      </c>
      <c r="H38" s="6"/>
      <c r="I38" s="6"/>
      <c r="J38" s="6"/>
      <c r="K38" s="6"/>
      <c r="L38" s="7">
        <f>M38/F38</f>
        <v>8500</v>
      </c>
      <c r="M38" s="7">
        <f>SUM(M10:M37)</f>
        <v>59767920</v>
      </c>
    </row>
    <row r="39" spans="2:38" ht="16" thickTop="1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Bastidad</dc:creator>
  <cp:lastModifiedBy>Bastidad</cp:lastModifiedBy>
  <dcterms:created xsi:type="dcterms:W3CDTF">2026-07-15T16:22:06Z</dcterms:created>
  <dcterms:modified xsi:type="dcterms:W3CDTF">2026-07-15T16:37:06Z</dcterms:modified>
</cp:coreProperties>
</file>